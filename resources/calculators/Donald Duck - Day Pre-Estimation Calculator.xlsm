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pport\read-excel\"/>
    </mc:Choice>
  </mc:AlternateContent>
  <bookViews>
    <workbookView xWindow="0" yWindow="0" windowWidth="20490" windowHeight="7620"/>
  </bookViews>
  <sheets>
    <sheet name="Validación" sheetId="1" r:id="rId1"/>
    <sheet name="Calculadora" sheetId="3" r:id="rId2"/>
    <sheet name="Output" sheetId="4" r:id="rId3"/>
    <sheet name="Ranges" sheetId="7" state="hidden" r:id="rId4"/>
    <sheet name="Lists" sheetId="2" state="hidden" r:id="rId5"/>
    <sheet name="Descripciones" sheetId="6" r:id="rId6"/>
  </sheets>
  <functionGroups builtInGroupCount="18"/>
  <definedNames>
    <definedName name="ApplicableList">Lists!$G$3</definedName>
    <definedName name="AWSServiceList">Lists!$K$3:$K$191</definedName>
    <definedName name="AzureServiceList">Lists!$L$3:$L$187</definedName>
    <definedName name="BackupList">Lists!$C$3:$C$4</definedName>
    <definedName name="EffortList">Lists!$I$3:$I$43</definedName>
    <definedName name="GCPServiceList">Lists!$M$3:$M$67</definedName>
    <definedName name="ManagementList">Lists!$B$3:$B$4</definedName>
    <definedName name="NoList">Lists!$H$3</definedName>
    <definedName name="NotApplicableList">Lists!$F$3</definedName>
    <definedName name="NubePublicaList">Lists!$D$3:$D$5</definedName>
    <definedName name="RequeridoList">Lists!$E$3:$E$4</definedName>
    <definedName name="SiNoList">Lists!$A$3:$A$4</definedName>
    <definedName name="ZeroList">Lists!$J$3</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4" l="1"/>
  <c r="H21" i="4" l="1"/>
  <c r="A29" i="4" l="1"/>
  <c r="A28" i="4"/>
  <c r="A27" i="4"/>
  <c r="A26" i="4"/>
  <c r="G15" i="4"/>
  <c r="G6" i="4"/>
  <c r="G17" i="4"/>
  <c r="G7" i="4"/>
  <c r="G13" i="4"/>
  <c r="G12" i="4"/>
  <c r="G9" i="4"/>
  <c r="G4" i="4"/>
  <c r="G10" i="4"/>
  <c r="G11" i="4"/>
  <c r="C28" i="3" l="1"/>
  <c r="C27" i="3"/>
  <c r="C26" i="3"/>
  <c r="C25" i="3"/>
  <c r="C24" i="3"/>
  <c r="A25" i="4"/>
  <c r="J23" i="4" l="1"/>
  <c r="J22" i="4"/>
  <c r="J25" i="4"/>
  <c r="J27" i="4"/>
  <c r="J28" i="4"/>
  <c r="J29" i="4"/>
  <c r="D15" i="1"/>
  <c r="D14" i="1"/>
  <c r="D27" i="1"/>
  <c r="D17" i="1"/>
  <c r="D18" i="1"/>
  <c r="D4" i="1"/>
  <c r="D19" i="1"/>
  <c r="D25" i="1"/>
  <c r="D24" i="1" l="1"/>
  <c r="G2" i="7"/>
  <c r="G5" i="7"/>
  <c r="F7" i="3" l="1"/>
  <c r="D12" i="1"/>
  <c r="D11" i="1" l="1"/>
  <c r="D3" i="1" l="1"/>
  <c r="J4" i="4" l="1"/>
  <c r="K4" i="4"/>
  <c r="J5" i="4"/>
  <c r="J6" i="4"/>
  <c r="J7" i="4"/>
  <c r="J8" i="4"/>
  <c r="J9" i="4"/>
  <c r="J10" i="4"/>
  <c r="J11" i="4"/>
  <c r="J12" i="4"/>
  <c r="J13" i="4"/>
  <c r="J14" i="4"/>
  <c r="J15" i="4"/>
  <c r="J16" i="4"/>
  <c r="J17" i="4"/>
  <c r="J18" i="4"/>
  <c r="J19" i="4"/>
  <c r="J20" i="4"/>
  <c r="J21" i="4"/>
  <c r="J24" i="4"/>
  <c r="D7" i="1"/>
  <c r="D10" i="1"/>
  <c r="D6" i="1"/>
  <c r="D5" i="1"/>
  <c r="D23" i="1"/>
  <c r="D22" i="1"/>
  <c r="D21" i="1"/>
  <c r="D9" i="1"/>
  <c r="B8" i="3"/>
  <c r="B6" i="3"/>
  <c r="D34" i="1"/>
  <c r="D13" i="4"/>
  <c r="D12" i="4"/>
  <c r="B9" i="3"/>
  <c r="D11" i="4"/>
  <c r="B10" i="3"/>
  <c r="D10" i="4"/>
  <c r="K7" i="4" l="1"/>
  <c r="K11" i="4"/>
  <c r="K9" i="4"/>
  <c r="K10" i="4"/>
  <c r="B12" i="3"/>
  <c r="E6" i="4"/>
  <c r="B23" i="3"/>
  <c r="B20" i="3"/>
  <c r="B21" i="3"/>
  <c r="B19" i="3"/>
  <c r="B11" i="3"/>
  <c r="E7" i="4"/>
  <c r="B18" i="3"/>
  <c r="K13" i="4" l="1"/>
  <c r="K24" i="4"/>
  <c r="K12" i="4"/>
  <c r="K21" i="4"/>
  <c r="K22" i="4"/>
  <c r="K19" i="4"/>
  <c r="K20" i="4"/>
  <c r="B13" i="3"/>
  <c r="B16" i="3"/>
  <c r="D7" i="4"/>
  <c r="B14" i="3"/>
  <c r="B15" i="4"/>
  <c r="B22" i="3"/>
  <c r="B17" i="3"/>
  <c r="D6" i="4"/>
  <c r="B15" i="3"/>
  <c r="E15" i="4"/>
  <c r="K14" i="4" l="1"/>
  <c r="K18" i="4"/>
  <c r="K15" i="4"/>
  <c r="K23" i="4"/>
  <c r="K16" i="4"/>
  <c r="K17" i="4"/>
  <c r="B28" i="3"/>
  <c r="D17" i="4"/>
  <c r="D15" i="4"/>
  <c r="B26" i="3"/>
  <c r="E17" i="4"/>
  <c r="B27" i="3"/>
  <c r="B25" i="3"/>
  <c r="B24" i="3"/>
  <c r="B19" i="4"/>
  <c r="K26" i="4" l="1"/>
  <c r="B10" i="4"/>
  <c r="K25" i="4"/>
  <c r="B9" i="4"/>
  <c r="B13" i="4"/>
  <c r="K29" i="4"/>
  <c r="B11" i="4"/>
  <c r="K27" i="4"/>
  <c r="K28" i="4"/>
  <c r="B12" i="4"/>
  <c r="D9" i="4"/>
  <c r="D19" i="4"/>
  <c r="E4" i="4"/>
  <c r="E21" i="4" s="1"/>
  <c r="B7" i="3"/>
  <c r="B17" i="4"/>
  <c r="B4" i="3"/>
  <c r="B5" i="3"/>
  <c r="K8" i="4" l="1"/>
  <c r="K6" i="4"/>
  <c r="K5" i="4"/>
  <c r="G21" i="4"/>
  <c r="D4" i="4"/>
  <c r="D21" i="4"/>
  <c r="K3" i="4"/>
</calcChain>
</file>

<file path=xl/sharedStrings.xml><?xml version="1.0" encoding="utf-8"?>
<sst xmlns="http://schemas.openxmlformats.org/spreadsheetml/2006/main" count="671" uniqueCount="565">
  <si>
    <t>Tenancy</t>
  </si>
  <si>
    <t># Accounts</t>
  </si>
  <si>
    <t># Aplicaciones</t>
  </si>
  <si>
    <t>Valor</t>
  </si>
  <si>
    <t>Resultado</t>
  </si>
  <si>
    <t># VPC</t>
  </si>
  <si>
    <t># Subredes</t>
  </si>
  <si>
    <t># VPC Peering</t>
  </si>
  <si>
    <t>Networking</t>
  </si>
  <si>
    <t>Security</t>
  </si>
  <si>
    <t>Directory Service</t>
  </si>
  <si>
    <t xml:space="preserve">Monitoring and Management </t>
  </si>
  <si>
    <t>Logging</t>
  </si>
  <si>
    <t>Monitoring</t>
  </si>
  <si>
    <t>Backup</t>
  </si>
  <si>
    <t>Deployment</t>
  </si>
  <si>
    <t># Instancias MV básicas</t>
  </si>
  <si>
    <t># Base de Datos SQL (PaaS)</t>
  </si>
  <si>
    <t>Scripts de automatización</t>
  </si>
  <si>
    <t>Otros servicios</t>
  </si>
  <si>
    <t>SíNo</t>
  </si>
  <si>
    <t>Sí</t>
  </si>
  <si>
    <t>No</t>
  </si>
  <si>
    <t>Criterio</t>
  </si>
  <si>
    <t>Conectividad On-Premises</t>
  </si>
  <si>
    <t>Por defecto</t>
  </si>
  <si>
    <t># Unidades de Object Storage</t>
  </si>
  <si>
    <t>Reglas de Firewall advanzadas</t>
  </si>
  <si>
    <t># Regions</t>
  </si>
  <si>
    <t>Aplicabilidad de la calculadora</t>
  </si>
  <si>
    <t>Greenfield</t>
  </si>
  <si>
    <t>Criterios</t>
  </si>
  <si>
    <t>Valores</t>
  </si>
  <si>
    <t>Nube Publica</t>
  </si>
  <si>
    <t># VPC Peerings</t>
  </si>
  <si>
    <t>Directory Services</t>
  </si>
  <si>
    <t>Instancias de MV</t>
  </si>
  <si>
    <t># Viajes al cliente</t>
  </si>
  <si>
    <t>Criterios de calculación</t>
  </si>
  <si>
    <t>Nube publica</t>
  </si>
  <si>
    <t>AWS</t>
  </si>
  <si>
    <t>Azure</t>
  </si>
  <si>
    <t>GCP</t>
  </si>
  <si>
    <t>Reglas de Firewall Avanzado</t>
  </si>
  <si>
    <t>Opciones</t>
  </si>
  <si>
    <t>Fases</t>
  </si>
  <si>
    <t>Recopilar requisitos</t>
  </si>
  <si>
    <t>Diseño</t>
  </si>
  <si>
    <t>Implantación</t>
  </si>
  <si>
    <t>Soporte</t>
  </si>
  <si>
    <t>Requerido</t>
  </si>
  <si>
    <t>No requerido</t>
  </si>
  <si>
    <t>Viajes</t>
  </si>
  <si>
    <t>Fase</t>
  </si>
  <si>
    <t>Sub Fase</t>
  </si>
  <si>
    <t>Perfiles</t>
  </si>
  <si>
    <t>Coste</t>
  </si>
  <si>
    <t>Jornadas</t>
  </si>
  <si>
    <t>Assessment Para La Adopción Cloud</t>
  </si>
  <si>
    <t>Cloud Architect</t>
  </si>
  <si>
    <t>Diseño &amp; Despliegue Estándar</t>
  </si>
  <si>
    <t>N/A</t>
  </si>
  <si>
    <t>Not Applicable</t>
  </si>
  <si>
    <t>No aplica</t>
  </si>
  <si>
    <t>Oferta basada en:</t>
  </si>
  <si>
    <t>Descripción</t>
  </si>
  <si>
    <t>Se indica la Nube Publica de la oferta; AWS, Azure o GCP.</t>
  </si>
  <si>
    <t>Se indica el numero de Regions del proveedor de la nube en que la infraestrcutura de la oferta debe ser desplegado.</t>
  </si>
  <si>
    <t>Se indica el numero de cuentas distintas en que la infraestrcutura de la oferta debe ser desplegado.</t>
  </si>
  <si>
    <t>Se indica el numero de VPCs que tienen que ser creado como parte de la oferta</t>
  </si>
  <si>
    <t>Se indica si un Directory Service es requerido como parte de la oferta. 
Tienes que marcar este campo con "Sí" si la oferta requiere cualquier tipo de instalación o conectividad con un Active Directory o servidor de LDAP .</t>
  </si>
  <si>
    <t>Se indica si la oferta va a necesitar la configuración de Reglas de Firewall advanzadas.
Tienes que marcar este campo con "Sí" si la oferta va a necesiatar reglas adicionales que no se aparecen en la lista abajo:
* Regalas frontales (HTTP, HTTPS) - 80, 443, 8080
* Reglas de gestion (SSH, RDP) - 22, 3389
* Reglas de firewall entre frontales y base de datos</t>
  </si>
  <si>
    <t>Se indica si la oferta requiere una configuración avanzado de monitoring 
Tienes que marcar este campo con un "Configuración Avanzado" si la oferta va a necesitar algunos de los puntos abajo:
* instalación de un agente de monitoring en Máquinas Virtuales
* creación de custom alertas o metricas
* creación de Event Handlers para responder a eventos
* creación de un custom Dashboard
* configuración de servicios adicionales como AWS System Manager, AWS X-Ray</t>
  </si>
  <si>
    <t>Se indica si la oferta requiere una configuración avanzado de logging. 
Tienes que marcar este campo con un "Configuración Avanzado" si la oferta va a necesitar algunos de los puntos abajo:
* instalación de un agente de logging en Máquinas Virtuales
* creación de custom alertas o metricas
* creación de Event Handlers para responder a eventos en los logs
* creación de un custom Dashboard</t>
  </si>
  <si>
    <t>Se indica si la oferta requiere una configuración avanzado de Backup. 
Tienes que marcar este campo con un "Configuración Avanzado" si la oferta va a necesitar una configuración de Back que no es cubierto con la creación de Snapshots del disco o BBDD con frequencia diario.</t>
  </si>
  <si>
    <t>Se indica el numero de unidades de Object Storage que tienen que ser creado como parte de la oferta.
Ejemplos de Object Storage son S3 Buckets, Azure Blob Storage o Google Cloud Storage</t>
  </si>
  <si>
    <t>Se indica el numero de Instancias de Máquinas Virtuales básicas que tienen que ser desplegado como parte de la oferta.
Una Máquina Virtual básica es una máquina que puede ser creado utilizando una imagen que ya existe en el MarketPlace.
La creación de un Golden Image está fuera del alcance del despliegue de una Máquina Virtual básica.</t>
  </si>
  <si>
    <t>Se indica el numero de Base de Datos SQL (PaaS) que tienen que ser creado como parte de la oferta.
El Base de Datos SQL (PaaS) puede ser configurado en una configuración Multi-AZ pero cualquier otro tipo de alta disponibilidad o mejora de rendemiento está fuera del alcance de la calculadora.
En el caso de un Base de Datos SQL (PaaS) configurado en Multi-AZ, tienes que marcar un instancia sola.</t>
  </si>
  <si>
    <t>Se indica si hay que crear scripts de automatización como parte de la oferta.</t>
  </si>
  <si>
    <t>En el contexto de ofertas cloud, un proyecto Greenfield se podría considerar como el diseño y despliegue de una infraestructura completamente desde cero, sin preocuparse por la integración con otros sistemas, especialmente no con algún sistema heredado.
Si tienes que marcar en este campo si la oferta se trata de un proyecto Greenfield o no.</t>
  </si>
  <si>
    <t>Se indica el numero de aplicaciones que tienen que ser analisado, instalado o migrado como parte de la oferta.</t>
  </si>
  <si>
    <t>Se indica el numero de Subredes que tienen que ser creado como parte de la oferta.</t>
  </si>
  <si>
    <t>Otros Servicios</t>
  </si>
  <si>
    <t>Se inicia si la oferta va a necesitar servicios que no se mencionen en los criterios arriba.</t>
  </si>
  <si>
    <t>Configuración Avanzada</t>
  </si>
  <si>
    <t>Management</t>
  </si>
  <si>
    <t>Reglas de Seguridad avanzadas</t>
  </si>
  <si>
    <t>Snapshots (1 diario)</t>
  </si>
  <si>
    <r>
      <t xml:space="preserve"># VPC </t>
    </r>
    <r>
      <rPr>
        <b/>
        <sz val="11"/>
        <color rgb="FFFF0000"/>
        <rFont val="Calibri"/>
        <family val="2"/>
        <scheme val="minor"/>
      </rPr>
      <t>*</t>
    </r>
  </si>
  <si>
    <r>
      <t xml:space="preserve"># Subredes </t>
    </r>
    <r>
      <rPr>
        <b/>
        <sz val="11"/>
        <color rgb="FFFF0000"/>
        <rFont val="Calibri"/>
        <family val="2"/>
        <scheme val="minor"/>
      </rPr>
      <t>*</t>
    </r>
  </si>
  <si>
    <r>
      <t xml:space="preserve"># Instancias MV básicas </t>
    </r>
    <r>
      <rPr>
        <b/>
        <sz val="11"/>
        <color rgb="FFFF0000"/>
        <rFont val="Calibri"/>
        <family val="2"/>
        <scheme val="minor"/>
      </rPr>
      <t>*</t>
    </r>
  </si>
  <si>
    <r>
      <t xml:space="preserve"># Unidades de Object Storage </t>
    </r>
    <r>
      <rPr>
        <b/>
        <sz val="11"/>
        <color rgb="FFFF0000"/>
        <rFont val="Calibri"/>
        <family val="2"/>
        <scheme val="minor"/>
      </rPr>
      <t>*</t>
    </r>
  </si>
  <si>
    <r>
      <t xml:space="preserve"># Base de Datos SQL (PaaS) </t>
    </r>
    <r>
      <rPr>
        <b/>
        <sz val="11"/>
        <color rgb="FFFF0000"/>
        <rFont val="Calibri"/>
        <family val="2"/>
        <scheme val="minor"/>
      </rPr>
      <t>*</t>
    </r>
  </si>
  <si>
    <t>Requirements</t>
  </si>
  <si>
    <t>Design</t>
  </si>
  <si>
    <t>Total Complexity Factor</t>
  </si>
  <si>
    <t>Positional Complexity Factor</t>
  </si>
  <si>
    <t>Excepciones</t>
  </si>
  <si>
    <t>La complejidad de la configuración de un servicio de directorio puede variar en gran medida desde un Simple AD con 10 usuarios a una implementación multi-forest. Esta complejidad no puede ser capturada eficazmente con la calculadora. Además, el servicio adecuado depende directamente de la finalidad que se quiera dar al directorio, que siempre necesita ser analizada por un arquitecto.</t>
  </si>
  <si>
    <t>Los esfuerzos para las reglas avanzadas de firewall no pueden ser capturados con la calculadora dado que van estrechamente relacionados con la complejidad de las configuraciones de las aplicaciones y el enrutamiento.</t>
  </si>
  <si>
    <t>1. La automatización es un proceso complejo que puede causar un notable incremento en las jornadas de cualquier proyecto.
2. La automatización que se puede proporcionar desde MVP está basada en soluciones Cloud Native (Cloud Formation, ARM, Deployment Manager). Si un cliente está realmente interesado en soluciones de automatización, quiere Terraform, Ansible o soluciones similares, y estas están cubiertas en el módulo de Advanced Automation (Sprint2).</t>
  </si>
  <si>
    <t>Applicable</t>
  </si>
  <si>
    <t>Aplica</t>
  </si>
  <si>
    <t>* Todas las estimaciones que se aparecen en la calculadora tienen que ser evaluado y aprobado por parte de TCS</t>
  </si>
  <si>
    <t>Si indica si la oferta requiere un Load Balancer con Maquinas Virtuales en distictas zonas de disponibilidad.
Los Load Balancer que pueden ser includios son:
* AWS -&gt; Application Load Balancer, Classic Load Balancer
* Azure -&gt; Application Gateway, Standard Load Balancer
* Google -&gt; HTTP/HTTPS Load Balancer, External Network TCP/UDP Load Balancer
Las condiciones en que podemos incluir Load Balancers:
* 1 Load Balancer solamente
* es uno de los Load Balancers de la lista arriba
* hay sola dos (o menos) zonas de disponibilidad
* solamente un health check basico (p.j. puerto 80 con respuesta 200)
* no hay más de 10 Máquinas Virtuales en total (p.j. 5 MV por zona)
* no hay ningun tipo de Auto Scaling Group
* no hay ningun configuración adicional como sitcky sessions o headers que contiene el IP del cliente</t>
  </si>
  <si>
    <t>Load Balancer</t>
  </si>
  <si>
    <t>Se indica si la oferta requiere un VPC Peering.
Se puede incluir un VPC Peering solo cuando no hay más de 2 VPCs y no hay un On-Premises VPN.</t>
  </si>
  <si>
    <t>Servicio 1</t>
  </si>
  <si>
    <t>Servicio 2</t>
  </si>
  <si>
    <t>Servicio 3</t>
  </si>
  <si>
    <t>Servicio 4</t>
  </si>
  <si>
    <t>Servicio 5</t>
  </si>
  <si>
    <t>Otros servicios (Servicio 1)</t>
  </si>
  <si>
    <t>Otros servicios (Servicio 2)</t>
  </si>
  <si>
    <t>Otros servicios (Servicio 3)</t>
  </si>
  <si>
    <t>Otros servicios (Servicio 4)</t>
  </si>
  <si>
    <t>Otros servicios (Servicio 5)</t>
  </si>
  <si>
    <t>Effort</t>
  </si>
  <si>
    <t>Zero</t>
  </si>
  <si>
    <t>Servicios adicionales</t>
  </si>
  <si>
    <t>AWS Services</t>
  </si>
  <si>
    <t>Anomaly Detector PREVIEW</t>
  </si>
  <si>
    <t>API Apps</t>
  </si>
  <si>
    <t>API Management</t>
  </si>
  <si>
    <t>App Configuration</t>
  </si>
  <si>
    <t>App Service</t>
  </si>
  <si>
    <t>Application Gateway</t>
  </si>
  <si>
    <t>Archive Storage</t>
  </si>
  <si>
    <t>Automation</t>
  </si>
  <si>
    <t>Avere vFXT for Azure</t>
  </si>
  <si>
    <t>Batch</t>
  </si>
  <si>
    <t>Bing Autosuggest</t>
  </si>
  <si>
    <t>Bing Custom Search</t>
  </si>
  <si>
    <t>Bing Entity Search</t>
  </si>
  <si>
    <t>Bing Image Search</t>
  </si>
  <si>
    <t>Bing News Search</t>
  </si>
  <si>
    <t>Bing Spell Check</t>
  </si>
  <si>
    <t>Bing Video Search</t>
  </si>
  <si>
    <t>Bing Visual Search</t>
  </si>
  <si>
    <t>Bing Web Search</t>
  </si>
  <si>
    <t>Blob Storage</t>
  </si>
  <si>
    <t>Cloud Services</t>
  </si>
  <si>
    <t>Cloud Shell</t>
  </si>
  <si>
    <t>Cognitive Services</t>
  </si>
  <si>
    <t>Computer Vision</t>
  </si>
  <si>
    <t>Container Instances</t>
  </si>
  <si>
    <t>Container Registry</t>
  </si>
  <si>
    <t>Content Delivery Network</t>
  </si>
  <si>
    <t>Content Moderator</t>
  </si>
  <si>
    <t>Content Protection</t>
  </si>
  <si>
    <t>Cost Management + Billing</t>
  </si>
  <si>
    <t>Custom Vision</t>
  </si>
  <si>
    <t>Data Box</t>
  </si>
  <si>
    <t>Data Catalog</t>
  </si>
  <si>
    <t>Data Factory</t>
  </si>
  <si>
    <t>Data Lake Analytics</t>
  </si>
  <si>
    <t>Data Science Virtual Machines</t>
  </si>
  <si>
    <t>Developer tool integrations</t>
  </si>
  <si>
    <t>DevOps tool integrations</t>
  </si>
  <si>
    <t>Disk Storage</t>
  </si>
  <si>
    <t>Encoding</t>
  </si>
  <si>
    <t>Event Grid</t>
  </si>
  <si>
    <t>Event Hubs</t>
  </si>
  <si>
    <t>Face</t>
  </si>
  <si>
    <t>File Storage</t>
  </si>
  <si>
    <t>Form Recognizer PREVIEW</t>
  </si>
  <si>
    <t>HDInsight</t>
  </si>
  <si>
    <t>Host your DNS domain in Azure</t>
  </si>
  <si>
    <t>Immersive Reader PREVIEW</t>
  </si>
  <si>
    <t>Ink Recognizer PREVIEW</t>
  </si>
  <si>
    <t>Key Vault</t>
  </si>
  <si>
    <t>Kinect DK</t>
  </si>
  <si>
    <t>Language Understanding</t>
  </si>
  <si>
    <t>Linux Virtual Machines</t>
  </si>
  <si>
    <t>Live and On-Demand Streaming</t>
  </si>
  <si>
    <t>Logic Apps</t>
  </si>
  <si>
    <t>Machine Learning Studio</t>
  </si>
  <si>
    <t>Managed Disks</t>
  </si>
  <si>
    <t>Media Services</t>
  </si>
  <si>
    <t>Microsoft Genomics</t>
  </si>
  <si>
    <t>Migration</t>
  </si>
  <si>
    <t>Mobile Apps</t>
  </si>
  <si>
    <t>Network Watcher</t>
  </si>
  <si>
    <t>Notification Hubs</t>
  </si>
  <si>
    <t>Personalizer</t>
  </si>
  <si>
    <t>Power BI Embedded</t>
  </si>
  <si>
    <t>QnA Maker</t>
  </si>
  <si>
    <t>Queue Storage</t>
  </si>
  <si>
    <t>R Server for HDInsight</t>
  </si>
  <si>
    <t>Remote Rendering PREVIEW</t>
  </si>
  <si>
    <t>Scheduler</t>
  </si>
  <si>
    <t>SDKs</t>
  </si>
  <si>
    <t>Security Center</t>
  </si>
  <si>
    <t>Service Bus</t>
  </si>
  <si>
    <t>Service Fabric</t>
  </si>
  <si>
    <t>Spatial Anchors PREVIEW</t>
  </si>
  <si>
    <t>Speaker Recognition PREVIEW</t>
  </si>
  <si>
    <t>Speech to Text</t>
  </si>
  <si>
    <t>Speech Translation</t>
  </si>
  <si>
    <t>SQL Server on Virtual Machines</t>
  </si>
  <si>
    <t>Storage Accounts</t>
  </si>
  <si>
    <t>Storage Explorer</t>
  </si>
  <si>
    <t>StorSimple</t>
  </si>
  <si>
    <t>Table Storage</t>
  </si>
  <si>
    <t>Text Analytics</t>
  </si>
  <si>
    <t>Text to Speech</t>
  </si>
  <si>
    <t>Traffic Manager</t>
  </si>
  <si>
    <t>Translator Text</t>
  </si>
  <si>
    <t>Unlock video insights</t>
  </si>
  <si>
    <t>Video Indexer</t>
  </si>
  <si>
    <t>Virtual Machine Scale Sets</t>
  </si>
  <si>
    <t>Virtual Machines</t>
  </si>
  <si>
    <t>Virtual Network</t>
  </si>
  <si>
    <t>Virtual WAN</t>
  </si>
  <si>
    <t>Visual Studio</t>
  </si>
  <si>
    <t>Visual Studio App Center</t>
  </si>
  <si>
    <t>Visual Studio Code</t>
  </si>
  <si>
    <t>Visual Studio Online PREVIEW</t>
  </si>
  <si>
    <t>VPN Gateway</t>
  </si>
  <si>
    <t>Web App for Containers</t>
  </si>
  <si>
    <t>Web Application Firewall</t>
  </si>
  <si>
    <t>Web Apps</t>
  </si>
  <si>
    <t>Windows 10 IoT Core Services</t>
  </si>
  <si>
    <t>Xamarin</t>
  </si>
  <si>
    <t>Azure Services</t>
  </si>
  <si>
    <t>GCP list</t>
  </si>
  <si>
    <t>Alexa for Business</t>
  </si>
  <si>
    <t>Apache MXNet on AWS</t>
  </si>
  <si>
    <t>CloudEndure Disaster Recovery</t>
  </si>
  <si>
    <t>CloudEndure Migration</t>
  </si>
  <si>
    <t>Contact Lens for Amazon Connect</t>
  </si>
  <si>
    <t>Elastic Load Balancing</t>
  </si>
  <si>
    <t>Reserved Instance Reporting</t>
  </si>
  <si>
    <t>Savings Plans</t>
  </si>
  <si>
    <t>TensorFlow on AWS</t>
  </si>
  <si>
    <t>VMware Cloud on AWS</t>
  </si>
  <si>
    <t>AI Platform Deep Learning VM Image</t>
  </si>
  <si>
    <t>Anthos</t>
  </si>
  <si>
    <t>Apigee Healthcare APIx</t>
  </si>
  <si>
    <t>App Engine</t>
  </si>
  <si>
    <t>BigQuery Data Transfer Service</t>
  </si>
  <si>
    <t>Binary Authorization</t>
  </si>
  <si>
    <t>Compute Engine</t>
  </si>
  <si>
    <t>Context-aware access</t>
  </si>
  <si>
    <t>Cost Management</t>
  </si>
  <si>
    <t>Dataproc</t>
  </si>
  <si>
    <t>Deep Learning Containers</t>
  </si>
  <si>
    <t>Dialogflow</t>
  </si>
  <si>
    <t>Edge TPU</t>
  </si>
  <si>
    <t>Firebase Crashlytics</t>
  </si>
  <si>
    <t>Hybrid Connectivity</t>
  </si>
  <si>
    <t>Knative</t>
  </si>
  <si>
    <t>Kubernetes Engine Monitoring</t>
  </si>
  <si>
    <t>Managed Service for Microsoft Active Directory</t>
  </si>
  <si>
    <t>Maven App Engine Plugin</t>
  </si>
  <si>
    <t>Memorystore</t>
  </si>
  <si>
    <t>Migrate for Anthos</t>
  </si>
  <si>
    <t>Migrate for Compute Engine</t>
  </si>
  <si>
    <t>Network Intelligence Center</t>
  </si>
  <si>
    <t>Network Telemetry</t>
  </si>
  <si>
    <t>Access Transparency</t>
  </si>
  <si>
    <t>Security Command Center</t>
  </si>
  <si>
    <t>Identity and Access Management</t>
  </si>
  <si>
    <t>Identity-Aware Proxy</t>
  </si>
  <si>
    <t>Identity Platform</t>
  </si>
  <si>
    <t>Policy Intelligence</t>
  </si>
  <si>
    <t>Security key enforcement</t>
  </si>
  <si>
    <t>reCAPTCHA Enterprise</t>
  </si>
  <si>
    <t>CloudConnect (Cloud Interconnect)</t>
  </si>
  <si>
    <t>Escribas una descripción aqui para brindar más contexto sobre el servicio adicional</t>
  </si>
  <si>
    <t>Administración</t>
  </si>
  <si>
    <t>Administrado por Telefónica</t>
  </si>
  <si>
    <t>Athena</t>
  </si>
  <si>
    <t>API Gateway</t>
  </si>
  <si>
    <t>AppStream 2.0</t>
  </si>
  <si>
    <t>AppSync</t>
  </si>
  <si>
    <t>Augmented AI</t>
  </si>
  <si>
    <t>Aurora</t>
  </si>
  <si>
    <t>Braket</t>
  </si>
  <si>
    <t>Chime</t>
  </si>
  <si>
    <t>CloudFront</t>
  </si>
  <si>
    <t>CloudSearch</t>
  </si>
  <si>
    <t>CloudWatch</t>
  </si>
  <si>
    <t>CodeGuru (Preview)</t>
  </si>
  <si>
    <t>Cognito</t>
  </si>
  <si>
    <t>Comprehend</t>
  </si>
  <si>
    <t>Connect</t>
  </si>
  <si>
    <t>Corretto</t>
  </si>
  <si>
    <t>Detective</t>
  </si>
  <si>
    <t>DocumentDB (MongoDB)</t>
  </si>
  <si>
    <t>DynamoDB</t>
  </si>
  <si>
    <t>EC2</t>
  </si>
  <si>
    <t>EC2 Auto Scaling</t>
  </si>
  <si>
    <t>Elastic Block Store (EBS)</t>
  </si>
  <si>
    <t>Elastic Container Registry</t>
  </si>
  <si>
    <t>Elastic Container Service</t>
  </si>
  <si>
    <t>Elastic File System (EFS)</t>
  </si>
  <si>
    <t>Elastic Inference</t>
  </si>
  <si>
    <t>Elastic Kubernetes Service</t>
  </si>
  <si>
    <t>Elastic Transcoder</t>
  </si>
  <si>
    <t>ElastiCache</t>
  </si>
  <si>
    <t>Elasticsearch Service</t>
  </si>
  <si>
    <t>EMR</t>
  </si>
  <si>
    <t>EventBridge</t>
  </si>
  <si>
    <t>Forecast</t>
  </si>
  <si>
    <t>Fraud Detector (Preview)</t>
  </si>
  <si>
    <t>FreeRTOS</t>
  </si>
  <si>
    <t>FSx for Lustre</t>
  </si>
  <si>
    <t>FSx for Windows File Server</t>
  </si>
  <si>
    <t>GameLift</t>
  </si>
  <si>
    <t>GuardDuty</t>
  </si>
  <si>
    <t>Inferentia</t>
  </si>
  <si>
    <t>Inspector</t>
  </si>
  <si>
    <t>Kendra</t>
  </si>
  <si>
    <t>Kinesis</t>
  </si>
  <si>
    <t>Kinesis Video Streams</t>
  </si>
  <si>
    <t>Lex</t>
  </si>
  <si>
    <t>Lightsail</t>
  </si>
  <si>
    <t>Lumberyard</t>
  </si>
  <si>
    <t>Macie</t>
  </si>
  <si>
    <t>Managed Apache Cassandra Service</t>
  </si>
  <si>
    <t>Managed Blockchain</t>
  </si>
  <si>
    <t>Managed Streaming for Apache Kafka</t>
  </si>
  <si>
    <t>MQ</t>
  </si>
  <si>
    <t>Neptune</t>
  </si>
  <si>
    <t>Personalize</t>
  </si>
  <si>
    <t>Pinpoint</t>
  </si>
  <si>
    <t>Polly</t>
  </si>
  <si>
    <t>Quantum Ledger Database (QLDB)</t>
  </si>
  <si>
    <t>QuickSight</t>
  </si>
  <si>
    <t>RDS</t>
  </si>
  <si>
    <t>RDS on VMware</t>
  </si>
  <si>
    <t>Redshift</t>
  </si>
  <si>
    <t>Rekognition</t>
  </si>
  <si>
    <t>Route 53</t>
  </si>
  <si>
    <t>S3 Glacier</t>
  </si>
  <si>
    <t>SageMaker</t>
  </si>
  <si>
    <t>SageMaker Ground Truth</t>
  </si>
  <si>
    <t>Simple Email Service (SES)</t>
  </si>
  <si>
    <t>Simple Notification Service (SNS)</t>
  </si>
  <si>
    <t>Simple Queue Service (SQS)</t>
  </si>
  <si>
    <t>Simple Storage Service (S3)</t>
  </si>
  <si>
    <t>Sumerian</t>
  </si>
  <si>
    <t>Textract</t>
  </si>
  <si>
    <t>Timestream</t>
  </si>
  <si>
    <t>Transcribe</t>
  </si>
  <si>
    <t>Translate</t>
  </si>
  <si>
    <t>VPC</t>
  </si>
  <si>
    <t>WorkDocs</t>
  </si>
  <si>
    <t>WorkLink</t>
  </si>
  <si>
    <t>WorkMail</t>
  </si>
  <si>
    <t>WorkSpaces</t>
  </si>
  <si>
    <t>Amplify</t>
  </si>
  <si>
    <t>App Mesh</t>
  </si>
  <si>
    <t>Application Discovery Service</t>
  </si>
  <si>
    <t>Artifact</t>
  </si>
  <si>
    <t>Auto Scaling</t>
  </si>
  <si>
    <t>Budgets</t>
  </si>
  <si>
    <t>Certificate Manager</t>
  </si>
  <si>
    <t>Chatbot</t>
  </si>
  <si>
    <t>Cloud Development Kit (CDK)</t>
  </si>
  <si>
    <t>Cloud Map</t>
  </si>
  <si>
    <t>Cloud9</t>
  </si>
  <si>
    <t>CloudFormation</t>
  </si>
  <si>
    <t>CloudHSM</t>
  </si>
  <si>
    <t>CloudTrail</t>
  </si>
  <si>
    <t>CodeBuild</t>
  </si>
  <si>
    <t>CodeCommit</t>
  </si>
  <si>
    <t>CodeDeploy</t>
  </si>
  <si>
    <t>CodePipeline</t>
  </si>
  <si>
    <t>CodeStar</t>
  </si>
  <si>
    <t>Command Line Interface</t>
  </si>
  <si>
    <t>Compute Optimizer</t>
  </si>
  <si>
    <t>Config</t>
  </si>
  <si>
    <t>Console Mobile Application</t>
  </si>
  <si>
    <t>Control Tower</t>
  </si>
  <si>
    <t>Cost and Usage Report</t>
  </si>
  <si>
    <t>Cost Explorer</t>
  </si>
  <si>
    <t>Data Exchange</t>
  </si>
  <si>
    <t>Data Pipeline</t>
  </si>
  <si>
    <t>Database Migration Service</t>
  </si>
  <si>
    <t>DataSync</t>
  </si>
  <si>
    <t>Deep Learning AMIs</t>
  </si>
  <si>
    <t>DeepComposer</t>
  </si>
  <si>
    <t>DeepLens</t>
  </si>
  <si>
    <t>DeepRacer</t>
  </si>
  <si>
    <t>Device Farm</t>
  </si>
  <si>
    <t>Elastic Beanstalk</t>
  </si>
  <si>
    <t>Elemental Appliances &amp; Software</t>
  </si>
  <si>
    <t>Elemental MediaConnect</t>
  </si>
  <si>
    <t>Elemental MediaConvert</t>
  </si>
  <si>
    <t>Elemental MediaLive</t>
  </si>
  <si>
    <t>Elemental MediaPackage</t>
  </si>
  <si>
    <t>Elemental MediaStore</t>
  </si>
  <si>
    <t>Elemental MediaTailor</t>
  </si>
  <si>
    <t>Fargate</t>
  </si>
  <si>
    <t>Firewall Manager</t>
  </si>
  <si>
    <t>Global Accelerator</t>
  </si>
  <si>
    <t>Glue</t>
  </si>
  <si>
    <t>Greengrass</t>
  </si>
  <si>
    <t>Ground Station</t>
  </si>
  <si>
    <t>Identity &amp; Access Management</t>
  </si>
  <si>
    <t>IoT 1-Click</t>
  </si>
  <si>
    <t>IoT Analytics</t>
  </si>
  <si>
    <t>IoT Button</t>
  </si>
  <si>
    <t>IoT Core</t>
  </si>
  <si>
    <t>IoT Device Defender</t>
  </si>
  <si>
    <t>IoT Device Management</t>
  </si>
  <si>
    <t>IoT Events</t>
  </si>
  <si>
    <t>IoT SiteWise</t>
  </si>
  <si>
    <t>IoT Things Graph</t>
  </si>
  <si>
    <t>Key Management Service</t>
  </si>
  <si>
    <t>Lake Formation</t>
  </si>
  <si>
    <t>Lambda</t>
  </si>
  <si>
    <t>License Manager</t>
  </si>
  <si>
    <t>Managed Services</t>
  </si>
  <si>
    <t>Management Console</t>
  </si>
  <si>
    <t>Migration Hub</t>
  </si>
  <si>
    <t>OpsWorks</t>
  </si>
  <si>
    <t>Organizations</t>
  </si>
  <si>
    <t>Outposts</t>
  </si>
  <si>
    <t>Partner Device Catalog</t>
  </si>
  <si>
    <t>Personal Health Dashboard</t>
  </si>
  <si>
    <t>PrivateLink</t>
  </si>
  <si>
    <t>Resource Access Manager</t>
  </si>
  <si>
    <t>RoboMaker</t>
  </si>
  <si>
    <t>Secrets Manager</t>
  </si>
  <si>
    <t>Security Hub</t>
  </si>
  <si>
    <t>Server Migration Service</t>
  </si>
  <si>
    <t>Serverless Application Repository</t>
  </si>
  <si>
    <t>Service Catalog</t>
  </si>
  <si>
    <t>Shield</t>
  </si>
  <si>
    <t>Single Sign-On</t>
  </si>
  <si>
    <t>Snow Family</t>
  </si>
  <si>
    <t>Step Functions</t>
  </si>
  <si>
    <t>Storage Gateway</t>
  </si>
  <si>
    <t>Systems Manager</t>
  </si>
  <si>
    <t>Tools and SDKs</t>
  </si>
  <si>
    <t>Transfer for SFTP</t>
  </si>
  <si>
    <t>Transit Gateway</t>
  </si>
  <si>
    <t>Trusted Advisor</t>
  </si>
  <si>
    <t>WAF</t>
  </si>
  <si>
    <t>Wavelength</t>
  </si>
  <si>
    <t>Well-Architected Tool</t>
  </si>
  <si>
    <t>X-Ray</t>
  </si>
  <si>
    <t>Cloud Connect (Direct Connect)</t>
  </si>
  <si>
    <t>Active Directory</t>
  </si>
  <si>
    <t>Active Directory B2C</t>
  </si>
  <si>
    <t>Advisor</t>
  </si>
  <si>
    <t>Analysis Services</t>
  </si>
  <si>
    <t>API for FHIR</t>
  </si>
  <si>
    <t>Arc PREVIEW</t>
  </si>
  <si>
    <t>Artifacts</t>
  </si>
  <si>
    <t>Bastion</t>
  </si>
  <si>
    <t>Blockchain Service PREVIEW</t>
  </si>
  <si>
    <t>Blockchain Tokens PREVIEW</t>
  </si>
  <si>
    <t>Blockchain Workbench PREVIEW</t>
  </si>
  <si>
    <t>Blueprints PREVIEW</t>
  </si>
  <si>
    <t>Boards</t>
  </si>
  <si>
    <t>Bot Service</t>
  </si>
  <si>
    <t>Cache for Redis</t>
  </si>
  <si>
    <t>Cognitive Search</t>
  </si>
  <si>
    <t>Cosmos DB</t>
  </si>
  <si>
    <t>CycleCloud</t>
  </si>
  <si>
    <t>Data Explorer</t>
  </si>
  <si>
    <t>Data Lake Storage</t>
  </si>
  <si>
    <t>Data Share</t>
  </si>
  <si>
    <t>Database for MariaDB</t>
  </si>
  <si>
    <t>Database for MySQL</t>
  </si>
  <si>
    <t>Database for PostgreSQL</t>
  </si>
  <si>
    <t>Databricks</t>
  </si>
  <si>
    <t>DDoS Protection</t>
  </si>
  <si>
    <t>Dedicated Host</t>
  </si>
  <si>
    <t>Dedicated HSM</t>
  </si>
  <si>
    <t>DevOps</t>
  </si>
  <si>
    <t>DevTest Labs</t>
  </si>
  <si>
    <t>Digital Twins PREVIEW</t>
  </si>
  <si>
    <t>DNS</t>
  </si>
  <si>
    <t>Firewall</t>
  </si>
  <si>
    <t>Firewall Manager PREVIEW</t>
  </si>
  <si>
    <t>Front Door</t>
  </si>
  <si>
    <t>Functions</t>
  </si>
  <si>
    <t>FXT Edge Filer</t>
  </si>
  <si>
    <t>HPC Cache</t>
  </si>
  <si>
    <t>Information Protection</t>
  </si>
  <si>
    <t>Internet Analyzer PREVIEW</t>
  </si>
  <si>
    <t>IoT Central</t>
  </si>
  <si>
    <t>IoT Edge</t>
  </si>
  <si>
    <t>IoT Hub</t>
  </si>
  <si>
    <t>IoT solution accelerators</t>
  </si>
  <si>
    <t>Kubernetes Service (AKS)</t>
  </si>
  <si>
    <t>Lab Services</t>
  </si>
  <si>
    <t>Lighthouse</t>
  </si>
  <si>
    <t>Machine Learning</t>
  </si>
  <si>
    <t>Managed Applications</t>
  </si>
  <si>
    <t>Maps</t>
  </si>
  <si>
    <t>Media Player</t>
  </si>
  <si>
    <t>Migrate</t>
  </si>
  <si>
    <t>mobile app</t>
  </si>
  <si>
    <t>Monitor</t>
  </si>
  <si>
    <t>NetApp Files</t>
  </si>
  <si>
    <t>Open Datasets</t>
  </si>
  <si>
    <t>Pipelines</t>
  </si>
  <si>
    <t>Policy</t>
  </si>
  <si>
    <t>Private Link</t>
  </si>
  <si>
    <t>Red Hat OpenShift</t>
  </si>
  <si>
    <t>Repos</t>
  </si>
  <si>
    <t>Resource Manager</t>
  </si>
  <si>
    <t>Resource Manager templates</t>
  </si>
  <si>
    <t>Sentinel</t>
  </si>
  <si>
    <t>Service Health</t>
  </si>
  <si>
    <t>SignalR Service</t>
  </si>
  <si>
    <t>Site Recovery</t>
  </si>
  <si>
    <t>Sphere</t>
  </si>
  <si>
    <t>Spring Cloud</t>
  </si>
  <si>
    <t>SQL Database</t>
  </si>
  <si>
    <t>SQL Database Edge PREVIEW</t>
  </si>
  <si>
    <t>Stack</t>
  </si>
  <si>
    <t>Stream Analytics</t>
  </si>
  <si>
    <t>Synapse Analytics</t>
  </si>
  <si>
    <t>Test Plans</t>
  </si>
  <si>
    <t>Time Series Insights</t>
  </si>
  <si>
    <t>Microsoft portal</t>
  </si>
  <si>
    <t>SAP HANA on Large Instances</t>
  </si>
  <si>
    <t>Asset Inventory</t>
  </si>
  <si>
    <t>Audit Logs</t>
  </si>
  <si>
    <t>Bigtable</t>
  </si>
  <si>
    <t>CDN</t>
  </si>
  <si>
    <t>Composer</t>
  </si>
  <si>
    <t>Data Fusion</t>
  </si>
  <si>
    <t>Data Loss Prevention</t>
  </si>
  <si>
    <t>Debugger</t>
  </si>
  <si>
    <t>Deployment Manager</t>
  </si>
  <si>
    <t>Endpoints</t>
  </si>
  <si>
    <t>Healthcare API</t>
  </si>
  <si>
    <t>HSM</t>
  </si>
  <si>
    <t>Identity</t>
  </si>
  <si>
    <t>Inference API</t>
  </si>
  <si>
    <t>Load Balancing</t>
  </si>
  <si>
    <t>Natural Language</t>
  </si>
  <si>
    <t>Run</t>
  </si>
  <si>
    <t>SDK</t>
  </si>
  <si>
    <t>Shell</t>
  </si>
  <si>
    <t>Source Repositories</t>
  </si>
  <si>
    <t>SQL</t>
  </si>
  <si>
    <t>Storage</t>
  </si>
  <si>
    <t>Tasks</t>
  </si>
  <si>
    <t>Text-to-Speech</t>
  </si>
  <si>
    <t>TPU</t>
  </si>
  <si>
    <t>Trace</t>
  </si>
  <si>
    <t>CloudConnect (ExpressRoute)</t>
  </si>
  <si>
    <t>Pre-estimación</t>
  </si>
  <si>
    <t>TCS estimación</t>
  </si>
  <si>
    <t>Se indica si la oferta requiere conectividad On-Premises.
Las condiciones son:
* un Site-to-Site VPN solamente
* ningun tipo de conexion dedicada (ni DirectConnect, ni ExpressRoute, ni Cloud InterConnect)
* ningun tipo de VPC Peering</t>
  </si>
  <si>
    <t>Kubernetes Engine (GKE)</t>
  </si>
  <si>
    <t>Nombre</t>
  </si>
  <si>
    <t>Oferta detalles</t>
  </si>
  <si>
    <t>Fecha de oferta</t>
  </si>
  <si>
    <t>Nombre del cliente</t>
  </si>
  <si>
    <t>Ubicación</t>
  </si>
  <si>
    <t>Sede del Cliente (Ciudad)</t>
  </si>
  <si>
    <t>Fecha de oferta (dd/mm/yyyy)</t>
  </si>
  <si>
    <t>Alcance de la calculadora</t>
  </si>
  <si>
    <t>Real Madrid TV</t>
  </si>
  <si>
    <t>Madrid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</si>
</sst>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0.00\ [$€-C0A]"/>
    <numFmt numFmtId="166" formatCode="#,##0.00\ [$€-1]"/>
  </numFmts>
  <fonts count="13" x14ac:knownFonts="1">
    <font>
      <sz val="11"/>
      <color theme="1"/>
      <name val="Calibri"/>
      <family val="2"/>
      <scheme val="minor"/>
    </font>
    <font>
      <b/>
      <sz val="11"/>
      <color theme="1"/>
      <name val="Calibri"/>
      <family val="2"/>
      <scheme val="minor"/>
    </font>
    <font>
      <b/>
      <sz val="16"/>
      <color theme="1"/>
      <name val="Calibri"/>
      <family val="2"/>
      <scheme val="minor"/>
    </font>
    <font>
      <b/>
      <sz val="11"/>
      <color rgb="FF008000"/>
      <name val="Calibri"/>
      <family val="2"/>
      <scheme val="minor"/>
    </font>
    <font>
      <sz val="11"/>
      <color rgb="FF008000"/>
      <name val="Calibri"/>
      <family val="2"/>
      <scheme val="minor"/>
    </font>
    <font>
      <sz val="11"/>
      <color rgb="FFFF0000"/>
      <name val="Calibri"/>
      <family val="2"/>
      <scheme val="minor"/>
    </font>
    <font>
      <b/>
      <sz val="14"/>
      <color theme="1"/>
      <name val="Calibri"/>
      <family val="2"/>
      <scheme val="minor"/>
    </font>
    <font>
      <b/>
      <sz val="14"/>
      <color rgb="FFFF0000"/>
      <name val="Calibri"/>
      <family val="2"/>
    </font>
    <font>
      <b/>
      <sz val="11"/>
      <color rgb="FFFF0000"/>
      <name val="Calibri"/>
      <family val="2"/>
      <scheme val="minor"/>
    </font>
    <font>
      <b/>
      <sz val="11"/>
      <color rgb="FF00B050"/>
      <name val="Calibri"/>
      <family val="2"/>
      <scheme val="minor"/>
    </font>
    <font>
      <sz val="11"/>
      <color rgb="FF7030A0"/>
      <name val="Calibri"/>
      <family val="2"/>
      <scheme val="minor"/>
    </font>
    <font>
      <sz val="11"/>
      <color rgb="FF000000"/>
      <name val="Calibri"/>
      <family val="2"/>
    </font>
    <font>
      <i/>
      <sz val="11"/>
      <color theme="2" tint="-0.499984740745262"/>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bgColor indexed="64"/>
      </patternFill>
    </fill>
    <fill>
      <patternFill patternType="solid">
        <fgColor rgb="FFFFC000"/>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00000"/>
        <bgColor indexed="64"/>
      </patternFill>
    </fill>
    <fill>
      <patternFill patternType="solid">
        <fgColor theme="5" tint="0.79998168889431442"/>
        <bgColor indexed="64"/>
      </patternFill>
    </fill>
    <fill>
      <patternFill patternType="solid">
        <fgColor rgb="FF01E92D"/>
        <bgColor indexed="64"/>
      </patternFill>
    </fill>
  </fills>
  <borders count="9">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top/>
      <bottom/>
      <diagonal/>
    </border>
  </borders>
  <cellStyleXfs count="2">
    <xf numFmtId="0" fontId="0" fillId="0" borderId="0"/>
    <xf numFmtId="0" fontId="11" fillId="0" borderId="0" applyBorder="0"/>
  </cellStyleXfs>
  <cellXfs count="103">
    <xf numFmtId="0" fontId="0" fillId="0" borderId="0" xfId="0"/>
    <xf numFmtId="0" fontId="0" fillId="2" borderId="2" xfId="0" applyFont="1" applyFill="1" applyBorder="1" applyAlignment="1" applyProtection="1">
      <alignment vertical="top"/>
      <protection locked="0"/>
    </xf>
    <xf numFmtId="0" fontId="2" fillId="0" borderId="0" xfId="0" applyFont="1"/>
    <xf numFmtId="0" fontId="1" fillId="0" borderId="0" xfId="0" applyFont="1" applyProtection="1"/>
    <xf numFmtId="0" fontId="1" fillId="0" borderId="0" xfId="0" applyFont="1" applyAlignment="1" applyProtection="1">
      <alignment horizontal="left" vertical="top"/>
    </xf>
    <xf numFmtId="0" fontId="0" fillId="4" borderId="2" xfId="0" applyFill="1" applyBorder="1" applyProtection="1"/>
    <xf numFmtId="0" fontId="0" fillId="4" borderId="2" xfId="0" applyFill="1" applyBorder="1" applyAlignment="1" applyProtection="1">
      <alignment horizontal="center" vertical="top"/>
    </xf>
    <xf numFmtId="164" fontId="0" fillId="2" borderId="2" xfId="0" applyNumberFormat="1" applyFont="1" applyFill="1" applyBorder="1" applyAlignment="1" applyProtection="1">
      <alignment vertical="top"/>
      <protection locked="0"/>
    </xf>
    <xf numFmtId="0" fontId="6" fillId="0" borderId="0" xfId="0" applyFont="1"/>
    <xf numFmtId="0" fontId="2" fillId="0" borderId="0" xfId="0" applyFont="1" applyProtection="1"/>
    <xf numFmtId="165" fontId="2" fillId="0" borderId="0" xfId="0" applyNumberFormat="1" applyFont="1" applyProtection="1"/>
    <xf numFmtId="0" fontId="0" fillId="0" borderId="0" xfId="0" applyProtection="1"/>
    <xf numFmtId="165" fontId="0" fillId="0" borderId="0" xfId="0" applyNumberFormat="1" applyProtection="1"/>
    <xf numFmtId="0" fontId="1" fillId="2" borderId="2" xfId="0" applyFont="1" applyFill="1" applyBorder="1" applyAlignment="1" applyProtection="1">
      <alignment vertical="top"/>
    </xf>
    <xf numFmtId="165" fontId="0" fillId="2" borderId="2" xfId="0" applyNumberFormat="1" applyFont="1" applyFill="1" applyBorder="1" applyAlignment="1" applyProtection="1">
      <alignment vertical="center"/>
    </xf>
    <xf numFmtId="0" fontId="0" fillId="2" borderId="2" xfId="0" applyFont="1" applyFill="1" applyBorder="1" applyAlignment="1" applyProtection="1">
      <alignment vertical="top"/>
    </xf>
    <xf numFmtId="165" fontId="0" fillId="0" borderId="0" xfId="0" applyNumberFormat="1" applyFont="1" applyProtection="1"/>
    <xf numFmtId="0" fontId="0" fillId="0" borderId="0" xfId="0" applyFont="1" applyProtection="1"/>
    <xf numFmtId="0" fontId="1" fillId="5" borderId="2" xfId="0" applyFont="1" applyFill="1" applyBorder="1" applyProtection="1"/>
    <xf numFmtId="165" fontId="0" fillId="5" borderId="2" xfId="0" applyNumberFormat="1" applyFont="1" applyFill="1" applyBorder="1" applyProtection="1"/>
    <xf numFmtId="0" fontId="0" fillId="5" borderId="2" xfId="0" applyFont="1" applyFill="1" applyBorder="1" applyProtection="1"/>
    <xf numFmtId="0" fontId="1" fillId="2" borderId="2" xfId="0" applyFont="1" applyFill="1" applyBorder="1" applyProtection="1"/>
    <xf numFmtId="165" fontId="0" fillId="2" borderId="2" xfId="0" applyNumberFormat="1" applyFont="1" applyFill="1" applyBorder="1" applyProtection="1"/>
    <xf numFmtId="0" fontId="1" fillId="5" borderId="2" xfId="0" applyFont="1" applyFill="1" applyBorder="1" applyAlignment="1" applyProtection="1">
      <alignment horizontal="center"/>
    </xf>
    <xf numFmtId="0" fontId="0" fillId="2" borderId="2" xfId="0" applyFill="1" applyBorder="1" applyProtection="1"/>
    <xf numFmtId="165" fontId="0" fillId="6" borderId="2" xfId="0" applyNumberFormat="1" applyFont="1" applyFill="1" applyBorder="1" applyAlignment="1" applyProtection="1">
      <alignment vertical="top"/>
    </xf>
    <xf numFmtId="0" fontId="0" fillId="6" borderId="2" xfId="0" applyFont="1" applyFill="1" applyBorder="1" applyAlignment="1" applyProtection="1">
      <alignment vertical="top"/>
    </xf>
    <xf numFmtId="0" fontId="1" fillId="0" borderId="0" xfId="0" applyFont="1"/>
    <xf numFmtId="0" fontId="0" fillId="2" borderId="2" xfId="0" applyNumberFormat="1" applyFont="1" applyFill="1" applyBorder="1" applyAlignment="1" applyProtection="1">
      <alignment vertical="top"/>
      <protection locked="0"/>
    </xf>
    <xf numFmtId="0" fontId="0" fillId="2" borderId="2" xfId="0" applyFill="1" applyBorder="1" applyAlignment="1" applyProtection="1">
      <alignment horizontal="center" vertical="top"/>
    </xf>
    <xf numFmtId="0" fontId="3" fillId="2" borderId="2" xfId="0" applyFont="1" applyFill="1" applyBorder="1" applyAlignment="1" applyProtection="1">
      <alignment vertical="top"/>
    </xf>
    <xf numFmtId="0" fontId="4" fillId="0" borderId="0" xfId="0" applyFont="1" applyProtection="1"/>
    <xf numFmtId="0" fontId="1" fillId="2" borderId="2" xfId="0" applyFont="1" applyFill="1" applyBorder="1" applyAlignment="1" applyProtection="1">
      <alignment wrapText="1"/>
    </xf>
    <xf numFmtId="0" fontId="3" fillId="0" borderId="0" xfId="0" applyFont="1" applyProtection="1"/>
    <xf numFmtId="0" fontId="5" fillId="0" borderId="0" xfId="0" applyFont="1" applyProtection="1"/>
    <xf numFmtId="0" fontId="0" fillId="2" borderId="2" xfId="0" applyFont="1" applyFill="1" applyBorder="1" applyAlignment="1" applyProtection="1">
      <alignment wrapText="1"/>
      <protection locked="0"/>
    </xf>
    <xf numFmtId="164" fontId="1" fillId="2" borderId="2" xfId="0" applyNumberFormat="1" applyFont="1" applyFill="1" applyBorder="1" applyAlignment="1" applyProtection="1">
      <alignment vertical="top"/>
    </xf>
    <xf numFmtId="164" fontId="1" fillId="2" borderId="2" xfId="0" applyNumberFormat="1" applyFont="1" applyFill="1" applyBorder="1" applyAlignment="1" applyProtection="1">
      <alignment horizontal="left" vertical="center"/>
    </xf>
    <xf numFmtId="0" fontId="9" fillId="2" borderId="2" xfId="0" applyFont="1" applyFill="1" applyBorder="1" applyAlignment="1" applyProtection="1">
      <alignment vertical="top"/>
    </xf>
    <xf numFmtId="0" fontId="0" fillId="0" borderId="0" xfId="0" applyAlignment="1" applyProtection="1">
      <alignment vertical="top"/>
    </xf>
    <xf numFmtId="0" fontId="2" fillId="0" borderId="0" xfId="0" applyFont="1" applyAlignment="1" applyProtection="1">
      <alignment vertical="center"/>
    </xf>
    <xf numFmtId="0" fontId="2" fillId="0" borderId="0" xfId="0" applyFont="1" applyAlignment="1" applyProtection="1">
      <alignment vertical="top" wrapText="1"/>
    </xf>
    <xf numFmtId="0" fontId="0" fillId="0" borderId="0" xfId="0" applyAlignment="1" applyProtection="1">
      <alignment vertical="center"/>
    </xf>
    <xf numFmtId="0" fontId="0" fillId="0" borderId="0" xfId="0" applyAlignment="1" applyProtection="1">
      <alignment vertical="top" wrapText="1"/>
    </xf>
    <xf numFmtId="0" fontId="1" fillId="2" borderId="2" xfId="0" applyFont="1" applyFill="1" applyBorder="1" applyAlignment="1" applyProtection="1">
      <alignment vertical="center" wrapText="1"/>
    </xf>
    <xf numFmtId="0" fontId="0" fillId="2" borderId="2" xfId="0" applyFont="1" applyFill="1" applyBorder="1" applyAlignment="1" applyProtection="1">
      <alignment vertical="center" wrapText="1"/>
    </xf>
    <xf numFmtId="0" fontId="0" fillId="0" borderId="0" xfId="0" applyAlignment="1" applyProtection="1">
      <alignment vertical="center" wrapText="1"/>
    </xf>
    <xf numFmtId="0" fontId="0" fillId="8" borderId="0" xfId="0" applyFill="1" applyAlignment="1">
      <alignment horizontal="center" vertical="top"/>
    </xf>
    <xf numFmtId="0" fontId="0" fillId="10" borderId="0" xfId="0" applyFill="1" applyProtection="1">
      <protection locked="0"/>
    </xf>
    <xf numFmtId="0" fontId="0" fillId="9" borderId="0" xfId="0" applyFill="1" applyProtection="1">
      <protection locked="0"/>
    </xf>
    <xf numFmtId="0" fontId="0" fillId="2" borderId="0" xfId="0" applyFill="1" applyProtection="1">
      <protection locked="0"/>
    </xf>
    <xf numFmtId="0" fontId="0" fillId="12" borderId="0" xfId="0" applyFill="1" applyProtection="1">
      <protection locked="0"/>
    </xf>
    <xf numFmtId="0" fontId="0" fillId="7" borderId="0" xfId="0" applyFill="1" applyProtection="1">
      <protection locked="0"/>
    </xf>
    <xf numFmtId="0" fontId="0" fillId="11" borderId="0" xfId="0" applyFill="1" applyProtection="1">
      <protection locked="0"/>
    </xf>
    <xf numFmtId="0" fontId="0" fillId="13" borderId="0" xfId="0" applyFill="1" applyProtection="1">
      <protection locked="0"/>
    </xf>
    <xf numFmtId="0" fontId="1" fillId="14" borderId="2" xfId="0" applyFont="1" applyFill="1" applyBorder="1" applyAlignment="1" applyProtection="1">
      <alignment vertical="center" wrapText="1"/>
    </xf>
    <xf numFmtId="0" fontId="0" fillId="14" borderId="2" xfId="0" applyFont="1" applyFill="1" applyBorder="1" applyAlignment="1" applyProtection="1">
      <alignment vertical="center" wrapText="1"/>
    </xf>
    <xf numFmtId="164" fontId="0" fillId="2" borderId="2" xfId="0" applyNumberFormat="1" applyFont="1" applyFill="1" applyBorder="1" applyAlignment="1" applyProtection="1">
      <alignment vertical="top"/>
    </xf>
    <xf numFmtId="0" fontId="2" fillId="3" borderId="7" xfId="0" applyFont="1" applyFill="1" applyBorder="1" applyAlignment="1" applyProtection="1">
      <alignment vertical="center"/>
    </xf>
    <xf numFmtId="0" fontId="1" fillId="3" borderId="7" xfId="0" applyFont="1" applyFill="1" applyBorder="1" applyAlignment="1" applyProtection="1">
      <alignment horizontal="left" vertical="center" wrapText="1"/>
    </xf>
    <xf numFmtId="0" fontId="1" fillId="14" borderId="1" xfId="0" applyFont="1" applyFill="1" applyBorder="1" applyAlignment="1" applyProtection="1">
      <alignment horizontal="center" vertical="center" wrapText="1"/>
    </xf>
    <xf numFmtId="0" fontId="10" fillId="4" borderId="2" xfId="0" applyFont="1" applyFill="1" applyBorder="1" applyAlignment="1" applyProtection="1">
      <alignment horizontal="center"/>
    </xf>
    <xf numFmtId="0" fontId="0" fillId="4" borderId="2" xfId="0" applyFont="1" applyFill="1" applyBorder="1" applyAlignment="1" applyProtection="1">
      <alignment horizontal="center" vertical="top"/>
    </xf>
    <xf numFmtId="0" fontId="10" fillId="4" borderId="2" xfId="0" applyFont="1" applyFill="1" applyBorder="1" applyAlignment="1" applyProtection="1">
      <alignment horizontal="left"/>
    </xf>
    <xf numFmtId="0" fontId="0" fillId="0" borderId="0" xfId="0" applyNumberFormat="1" applyFill="1" applyAlignment="1" applyProtection="1"/>
    <xf numFmtId="0" fontId="1" fillId="2" borderId="2" xfId="0" applyFont="1" applyFill="1" applyBorder="1" applyAlignment="1" applyProtection="1">
      <alignment horizontal="center" vertical="center"/>
    </xf>
    <xf numFmtId="164" fontId="1" fillId="2" borderId="2" xfId="0" applyNumberFormat="1" applyFont="1" applyFill="1" applyBorder="1" applyAlignment="1" applyProtection="1">
      <alignment horizontal="center" vertical="center"/>
    </xf>
    <xf numFmtId="0" fontId="8" fillId="0" borderId="0" xfId="0" applyFont="1" applyAlignment="1" applyProtection="1"/>
    <xf numFmtId="0" fontId="12" fillId="2" borderId="2" xfId="0" applyFont="1" applyFill="1" applyBorder="1" applyAlignment="1" applyProtection="1">
      <alignment wrapText="1"/>
      <protection locked="0"/>
    </xf>
    <xf numFmtId="0" fontId="0" fillId="2" borderId="2" xfId="0" applyNumberFormat="1" applyFont="1" applyFill="1" applyBorder="1" applyAlignment="1" applyProtection="1">
      <alignment horizontal="center" vertical="top"/>
      <protection locked="0"/>
    </xf>
    <xf numFmtId="0" fontId="8" fillId="0" borderId="0" xfId="0" applyFont="1" applyAlignment="1" applyProtection="1">
      <alignment horizontal="left" wrapText="1"/>
    </xf>
    <xf numFmtId="0" fontId="1" fillId="0" borderId="0" xfId="0" applyFont="1" applyAlignment="1" applyProtection="1">
      <alignment horizontal="left" vertical="top"/>
    </xf>
    <xf numFmtId="165" fontId="2" fillId="0" borderId="0" xfId="0" applyNumberFormat="1" applyFont="1" applyAlignment="1" applyProtection="1">
      <alignment horizontal="center"/>
    </xf>
    <xf numFmtId="166" fontId="0" fillId="15" borderId="2" xfId="0" applyNumberFormat="1" applyFont="1" applyFill="1" applyBorder="1" applyAlignment="1" applyProtection="1">
      <alignment vertical="top"/>
    </xf>
    <xf numFmtId="0" fontId="0" fillId="15" borderId="2" xfId="0" applyFont="1" applyFill="1" applyBorder="1" applyAlignment="1" applyProtection="1">
      <alignment vertical="top"/>
    </xf>
    <xf numFmtId="166" fontId="0" fillId="15" borderId="2" xfId="0" applyNumberFormat="1" applyFont="1" applyFill="1" applyBorder="1" applyProtection="1"/>
    <xf numFmtId="165" fontId="0" fillId="15" borderId="2" xfId="0" applyNumberFormat="1" applyFont="1" applyFill="1" applyBorder="1" applyAlignment="1" applyProtection="1">
      <alignment vertical="center"/>
    </xf>
    <xf numFmtId="0" fontId="0" fillId="15" borderId="2" xfId="0" applyFont="1" applyFill="1" applyBorder="1" applyAlignment="1" applyProtection="1">
      <alignment vertical="top"/>
      <protection locked="0"/>
    </xf>
    <xf numFmtId="0" fontId="0" fillId="15" borderId="2" xfId="0" applyFont="1" applyFill="1" applyBorder="1" applyProtection="1">
      <protection locked="0"/>
    </xf>
    <xf numFmtId="164" fontId="1" fillId="2" borderId="2" xfId="0" applyNumberFormat="1" applyFont="1" applyFill="1" applyBorder="1" applyAlignment="1" applyProtection="1">
      <alignment horizontal="center" vertical="center"/>
    </xf>
    <xf numFmtId="0" fontId="1" fillId="0" borderId="0" xfId="0" applyFont="1" applyAlignment="1" applyProtection="1">
      <alignment horizontal="left" vertical="top"/>
    </xf>
    <xf numFmtId="164" fontId="0" fillId="0" borderId="0" xfId="0" applyNumberFormat="1" applyProtection="1"/>
    <xf numFmtId="0" fontId="6" fillId="0" borderId="0" xfId="0" applyFont="1" applyProtection="1"/>
    <xf numFmtId="164" fontId="0" fillId="2" borderId="2" xfId="0" applyNumberFormat="1" applyFont="1" applyFill="1" applyBorder="1" applyAlignment="1" applyProtection="1">
      <alignment horizontal="left" vertical="center"/>
      <protection locked="0"/>
    </xf>
    <xf numFmtId="164" fontId="1" fillId="2" borderId="2" xfId="0" applyNumberFormat="1" applyFont="1" applyFill="1" applyBorder="1" applyAlignment="1" applyProtection="1">
      <alignment horizontal="center" vertical="center"/>
    </xf>
    <xf numFmtId="14" fontId="0" fillId="2" borderId="2" xfId="0" applyNumberFormat="1" applyFont="1" applyFill="1" applyBorder="1" applyAlignment="1" applyProtection="1">
      <alignment horizontal="left" vertical="center"/>
      <protection locked="0"/>
    </xf>
    <xf numFmtId="0" fontId="1" fillId="2" borderId="5" xfId="0" applyFont="1" applyFill="1" applyBorder="1" applyAlignment="1" applyProtection="1">
      <alignment horizontal="center" vertical="center"/>
    </xf>
    <xf numFmtId="0" fontId="1" fillId="2" borderId="6" xfId="0" applyFont="1" applyFill="1" applyBorder="1" applyAlignment="1" applyProtection="1">
      <alignment horizontal="center" vertical="center"/>
    </xf>
    <xf numFmtId="0" fontId="1" fillId="2" borderId="1"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xf>
    <xf numFmtId="0" fontId="1" fillId="2" borderId="3" xfId="0" applyFont="1" applyFill="1" applyBorder="1" applyAlignment="1" applyProtection="1">
      <alignment horizontal="center" vertical="center"/>
    </xf>
    <xf numFmtId="0" fontId="1" fillId="2" borderId="2" xfId="0" applyFont="1" applyFill="1" applyBorder="1" applyAlignment="1" applyProtection="1">
      <alignment horizontal="center" vertical="center"/>
    </xf>
    <xf numFmtId="0" fontId="8" fillId="0" borderId="8" xfId="0" applyFont="1" applyBorder="1" applyAlignment="1" applyProtection="1">
      <alignment horizontal="left" wrapText="1"/>
    </xf>
    <xf numFmtId="0" fontId="8" fillId="0" borderId="0" xfId="0" applyFont="1" applyBorder="1" applyAlignment="1" applyProtection="1">
      <alignment horizontal="left" wrapText="1"/>
    </xf>
    <xf numFmtId="164" fontId="1" fillId="2" borderId="2" xfId="0"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0" fontId="8" fillId="0" borderId="0" xfId="0" applyFont="1" applyAlignment="1" applyProtection="1">
      <alignment horizontal="left" wrapText="1"/>
    </xf>
    <xf numFmtId="0" fontId="1" fillId="5" borderId="2" xfId="0" applyFont="1" applyFill="1" applyBorder="1" applyAlignment="1" applyProtection="1">
      <alignment horizontal="center" vertical="center"/>
    </xf>
    <xf numFmtId="0" fontId="1" fillId="0" borderId="0" xfId="0" applyFont="1" applyAlignment="1" applyProtection="1">
      <alignment horizontal="left" vertical="top"/>
    </xf>
    <xf numFmtId="0" fontId="1" fillId="14" borderId="1" xfId="0" applyFont="1" applyFill="1" applyBorder="1" applyAlignment="1" applyProtection="1">
      <alignment horizontal="center" vertical="center" wrapText="1"/>
    </xf>
    <xf numFmtId="0" fontId="1" fillId="14" borderId="4" xfId="0" applyFont="1" applyFill="1" applyBorder="1" applyAlignment="1" applyProtection="1">
      <alignment horizontal="center" vertical="center" wrapText="1"/>
    </xf>
  </cellXfs>
  <cellStyles count="2">
    <cellStyle name="Normal" xfId="0" builtinId="0"/>
    <cellStyle name="Normal 2" xfId="1"/>
  </cellStyles>
  <dxfs count="217">
    <dxf>
      <font>
        <b/>
        <i/>
        <strike val="0"/>
        <color rgb="FFFF0000"/>
      </font>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7030A0"/>
      </font>
    </dxf>
    <dxf>
      <font>
        <strike/>
        <color rgb="FFFF0000"/>
      </font>
    </dxf>
    <dxf>
      <font>
        <b/>
        <i val="0"/>
        <strike val="0"/>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b/>
        <i val="0"/>
        <strike val="0"/>
        <color theme="1"/>
      </font>
    </dxf>
    <dxf>
      <font>
        <b/>
        <i val="0"/>
        <strike val="0"/>
        <color theme="1"/>
      </font>
    </dxf>
    <dxf>
      <font>
        <b/>
        <i val="0"/>
        <strike val="0"/>
        <color theme="1"/>
      </font>
    </dxf>
    <dxf>
      <font>
        <b/>
        <i val="0"/>
        <strike val="0"/>
        <color theme="1"/>
      </font>
    </dxf>
    <dxf>
      <font>
        <b/>
        <i val="0"/>
        <strike val="0"/>
        <color theme="1"/>
      </font>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theme="1"/>
      </font>
      <fill>
        <patternFill>
          <bgColor rgb="FF00B050"/>
        </patternFill>
      </fill>
    </dxf>
    <dxf>
      <font>
        <color theme="1"/>
      </font>
      <fill>
        <patternFill>
          <bgColor rgb="FFFF0000"/>
        </patternFill>
      </fill>
    </dxf>
  </dxfs>
  <tableStyles count="0" defaultTableStyle="TableStyleMedium2" defaultPivotStyle="PivotStyleLight16"/>
  <colors>
    <mruColors>
      <color rgb="FF01E92D"/>
      <color rgb="FF01B3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19050</xdr:rowOff>
        </xdr:from>
        <xdr:to>
          <xdr:col>3</xdr:col>
          <xdr:colOff>0</xdr:colOff>
          <xdr:row>31</xdr:row>
          <xdr:rowOff>276225</xdr:rowOff>
        </xdr:to>
        <xdr:sp macro="" textlink="">
          <xdr:nvSpPr>
            <xdr:cNvPr id="2068" name="Service5ComboBox"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xdr:row>
          <xdr:rowOff>190500</xdr:rowOff>
        </xdr:from>
        <xdr:to>
          <xdr:col>3</xdr:col>
          <xdr:colOff>0</xdr:colOff>
          <xdr:row>28</xdr:row>
          <xdr:rowOff>9525</xdr:rowOff>
        </xdr:to>
        <xdr:sp macro="" textlink="">
          <xdr:nvSpPr>
            <xdr:cNvPr id="2070" name="Service1ComboBox"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xdr:row>
          <xdr:rowOff>19050</xdr:rowOff>
        </xdr:from>
        <xdr:to>
          <xdr:col>2</xdr:col>
          <xdr:colOff>2667000</xdr:colOff>
          <xdr:row>28</xdr:row>
          <xdr:rowOff>285750</xdr:rowOff>
        </xdr:to>
        <xdr:sp macro="" textlink="">
          <xdr:nvSpPr>
            <xdr:cNvPr id="2071" name="Service2ComboBox"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38100</xdr:rowOff>
        </xdr:from>
        <xdr:to>
          <xdr:col>2</xdr:col>
          <xdr:colOff>2667000</xdr:colOff>
          <xdr:row>29</xdr:row>
          <xdr:rowOff>295275</xdr:rowOff>
        </xdr:to>
        <xdr:sp macro="" textlink="">
          <xdr:nvSpPr>
            <xdr:cNvPr id="2072" name="Service3ComboBox"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28575</xdr:rowOff>
        </xdr:from>
        <xdr:to>
          <xdr:col>3</xdr:col>
          <xdr:colOff>0</xdr:colOff>
          <xdr:row>30</xdr:row>
          <xdr:rowOff>276225</xdr:rowOff>
        </xdr:to>
        <xdr:sp macro="" textlink="">
          <xdr:nvSpPr>
            <xdr:cNvPr id="2073" name="Service4ComboBox"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34"/>
  <sheetViews>
    <sheetView tabSelected="1" zoomScale="80" zoomScaleNormal="80" workbookViewId="0">
      <selection activeCell="B1" sqref="B1"/>
    </sheetView>
  </sheetViews>
  <sheetFormatPr defaultRowHeight="15" x14ac:dyDescent="0.25"/>
  <cols>
    <col min="1" max="1" width="27.7109375" style="11" bestFit="1" customWidth="1"/>
    <col min="2" max="2" width="39.140625" style="11" bestFit="1" customWidth="1"/>
    <col min="3" max="3" width="40.140625" style="11" bestFit="1" customWidth="1"/>
    <col min="4" max="4" width="191.42578125" style="11" bestFit="1" customWidth="1"/>
    <col min="5" max="5" width="7.28515625" style="11" customWidth="1"/>
    <col min="6" max="16384" width="9.140625" style="11"/>
  </cols>
  <sheetData>
    <row r="1" spans="1:4" s="9" customFormat="1" ht="21" x14ac:dyDescent="0.35">
      <c r="B1" s="9" t="s">
        <v>23</v>
      </c>
      <c r="C1" s="9" t="s">
        <v>3</v>
      </c>
      <c r="D1" s="9" t="s">
        <v>4</v>
      </c>
    </row>
    <row r="3" spans="1:4" x14ac:dyDescent="0.25">
      <c r="A3" s="86" t="s">
        <v>0</v>
      </c>
      <c r="B3" s="13" t="s">
        <v>39</v>
      </c>
      <c r="C3" s="1" t="s">
        <v>40</v>
      </c>
      <c r="D3" s="38" t="str">
        <f>IF((OR(C3="AWS",C3="Azure",C3="GCP")),"Criterio válidado","")</f>
        <v>Criterio válidado</v>
      </c>
    </row>
    <row r="4" spans="1:4" x14ac:dyDescent="0.25">
      <c r="A4" s="86"/>
      <c r="B4" s="13" t="s">
        <v>30</v>
      </c>
      <c r="C4" s="1" t="s">
        <v>21</v>
      </c>
      <c r="D4" s="30" t="str">
        <f>validateBooleanLimit(C4,FALSE,"ningun tipo de despliegue aparte de Greenfield")</f>
        <v>Criterio válidado</v>
      </c>
    </row>
    <row r="5" spans="1:4" x14ac:dyDescent="0.25">
      <c r="A5" s="86"/>
      <c r="B5" s="13" t="s">
        <v>28</v>
      </c>
      <c r="C5" s="1">
        <v>1</v>
      </c>
      <c r="D5" s="30" t="str">
        <f>validateNumberLimit(C5,1,"region")</f>
        <v>Criterio válidado</v>
      </c>
    </row>
    <row r="6" spans="1:4" x14ac:dyDescent="0.25">
      <c r="A6" s="86"/>
      <c r="B6" s="13" t="s">
        <v>1</v>
      </c>
      <c r="C6" s="1">
        <v>1</v>
      </c>
      <c r="D6" s="30" t="str">
        <f>validateNumberLimit(C6,1,"cuenta")</f>
        <v>Criterio válidado</v>
      </c>
    </row>
    <row r="7" spans="1:4" x14ac:dyDescent="0.25">
      <c r="A7" s="87"/>
      <c r="B7" s="13" t="s">
        <v>2</v>
      </c>
      <c r="C7" s="1">
        <v>0</v>
      </c>
      <c r="D7" s="30" t="str">
        <f>validateNumberLimit(C7,0,"aplicaciones")</f>
        <v>Criterio válidado</v>
      </c>
    </row>
    <row r="8" spans="1:4" x14ac:dyDescent="0.25">
      <c r="C8" s="17"/>
      <c r="D8" s="31"/>
    </row>
    <row r="9" spans="1:4" x14ac:dyDescent="0.25">
      <c r="A9" s="91" t="s">
        <v>8</v>
      </c>
      <c r="B9" s="32" t="s">
        <v>88</v>
      </c>
      <c r="C9" s="35">
        <v>1</v>
      </c>
      <c r="D9" s="30" t="str">
        <f>validateNumberLimit(C9,2,"VPCs")</f>
        <v>Criterio válidado</v>
      </c>
    </row>
    <row r="10" spans="1:4" x14ac:dyDescent="0.25">
      <c r="A10" s="92"/>
      <c r="B10" s="32" t="s">
        <v>89</v>
      </c>
      <c r="C10" s="35">
        <v>1</v>
      </c>
      <c r="D10" s="30" t="str">
        <f>validateNumberLimit(C10,4,"Subredes")</f>
        <v>Criterio válidado</v>
      </c>
    </row>
    <row r="11" spans="1:4" x14ac:dyDescent="0.25">
      <c r="A11" s="92"/>
      <c r="B11" s="32" t="s">
        <v>24</v>
      </c>
      <c r="C11" s="35" t="s">
        <v>21</v>
      </c>
      <c r="D11" s="38" t="str">
        <f>IF((OR(C11="Sí",C11="No")),"Criterio válidado","")</f>
        <v>Criterio válidado</v>
      </c>
    </row>
    <row r="12" spans="1:4" x14ac:dyDescent="0.25">
      <c r="A12" s="92"/>
      <c r="B12" s="32" t="s">
        <v>34</v>
      </c>
      <c r="C12" s="35" t="s">
        <v>22</v>
      </c>
      <c r="D12" s="30" t="str">
        <f>validateVpcPeering(C12,C11,C9)</f>
        <v>Criterio válidado</v>
      </c>
    </row>
    <row r="13" spans="1:4" x14ac:dyDescent="0.25">
      <c r="C13" s="17"/>
      <c r="D13" s="31"/>
    </row>
    <row r="14" spans="1:4" x14ac:dyDescent="0.25">
      <c r="A14" s="93" t="s">
        <v>9</v>
      </c>
      <c r="B14" s="32" t="s">
        <v>10</v>
      </c>
      <c r="C14" s="35" t="s">
        <v>22</v>
      </c>
      <c r="D14" s="30" t="str">
        <f>validateBooleanLimit(C14,TRUE,"ningun tipo de Directory Service")</f>
        <v>Criterio válidado</v>
      </c>
    </row>
    <row r="15" spans="1:4" x14ac:dyDescent="0.25">
      <c r="A15" s="93"/>
      <c r="B15" s="32" t="s">
        <v>86</v>
      </c>
      <c r="C15" s="35" t="s">
        <v>22</v>
      </c>
      <c r="D15" s="30" t="str">
        <f>validateBooleanLimit(C15,TRUE,"reglas de firewall avanzadas")</f>
        <v>Criterio válidado</v>
      </c>
    </row>
    <row r="16" spans="1:4" x14ac:dyDescent="0.25">
      <c r="C16" s="17"/>
      <c r="D16" s="33"/>
    </row>
    <row r="17" spans="1:4" x14ac:dyDescent="0.25">
      <c r="A17" s="93" t="s">
        <v>11</v>
      </c>
      <c r="B17" s="32" t="s">
        <v>12</v>
      </c>
      <c r="C17" s="35" t="s">
        <v>25</v>
      </c>
      <c r="D17" s="30" t="str">
        <f>validateManagementLimit(C17,"ningun tipo de logging con configuración advanzado")</f>
        <v>Criterio válidado</v>
      </c>
    </row>
    <row r="18" spans="1:4" x14ac:dyDescent="0.25">
      <c r="A18" s="93"/>
      <c r="B18" s="32" t="s">
        <v>13</v>
      </c>
      <c r="C18" s="35" t="s">
        <v>25</v>
      </c>
      <c r="D18" s="30" t="str">
        <f>validateManagementLimit(C18,"ningun tipo de monitoring con configuración advanzado")</f>
        <v>Criterio válidado</v>
      </c>
    </row>
    <row r="19" spans="1:4" x14ac:dyDescent="0.25">
      <c r="A19" s="93"/>
      <c r="B19" s="32" t="s">
        <v>14</v>
      </c>
      <c r="C19" s="35" t="s">
        <v>87</v>
      </c>
      <c r="D19" s="30" t="str">
        <f>validateManagementLimit(C19,"ningun tipo de backup con configuración advanzado")</f>
        <v>Criterio válidado</v>
      </c>
    </row>
    <row r="20" spans="1:4" x14ac:dyDescent="0.25">
      <c r="C20" s="17"/>
      <c r="D20" s="31"/>
    </row>
    <row r="21" spans="1:4" x14ac:dyDescent="0.25">
      <c r="A21" s="88" t="s">
        <v>15</v>
      </c>
      <c r="B21" s="32" t="s">
        <v>90</v>
      </c>
      <c r="C21" s="35">
        <v>3</v>
      </c>
      <c r="D21" s="30" t="str">
        <f>validateNumberLimit(C21,10,"# Instancias MV básicas")</f>
        <v>Criterio válidado</v>
      </c>
    </row>
    <row r="22" spans="1:4" x14ac:dyDescent="0.25">
      <c r="A22" s="89"/>
      <c r="B22" s="32" t="s">
        <v>91</v>
      </c>
      <c r="C22" s="35">
        <v>1</v>
      </c>
      <c r="D22" s="30" t="str">
        <f>validateNumberLimit(C22,2,"# Unidades de Object Storage")</f>
        <v>Criterio válidado</v>
      </c>
    </row>
    <row r="23" spans="1:4" x14ac:dyDescent="0.25">
      <c r="A23" s="89"/>
      <c r="B23" s="32" t="s">
        <v>92</v>
      </c>
      <c r="C23" s="35">
        <v>0</v>
      </c>
      <c r="D23" s="30" t="str">
        <f>validateNumberLimit(C23,2,"# Base de Datos SQL (PaaS)")</f>
        <v>Criterio válidado</v>
      </c>
    </row>
    <row r="24" spans="1:4" x14ac:dyDescent="0.25">
      <c r="A24" s="89"/>
      <c r="B24" s="32" t="s">
        <v>105</v>
      </c>
      <c r="C24" s="35" t="s">
        <v>22</v>
      </c>
      <c r="D24" s="30" t="str">
        <f>IF((OR(C24="Sí",C24="No")),"Criterio válidado","")</f>
        <v>Criterio válidado</v>
      </c>
    </row>
    <row r="25" spans="1:4" x14ac:dyDescent="0.25">
      <c r="A25" s="89"/>
      <c r="B25" s="32" t="s">
        <v>18</v>
      </c>
      <c r="C25" s="35" t="s">
        <v>22</v>
      </c>
      <c r="D25" s="30" t="str">
        <f>validateBooleanLimit(C25,TRUE,"la creación de scripts de automatización")</f>
        <v>Criterio válidado</v>
      </c>
    </row>
    <row r="26" spans="1:4" x14ac:dyDescent="0.25">
      <c r="C26" s="17"/>
      <c r="D26" s="34"/>
    </row>
    <row r="27" spans="1:4" x14ac:dyDescent="0.25">
      <c r="A27" s="32" t="s">
        <v>19</v>
      </c>
      <c r="B27" s="32" t="s">
        <v>19</v>
      </c>
      <c r="C27" s="35" t="s">
        <v>22</v>
      </c>
      <c r="D27" s="30" t="str">
        <f>validateBooleanLimit(C27,TRUE,"otros servicios pero se puede añadir hasta 5 servicios adicionales para un cálculo manual")</f>
        <v>Criterio válidado</v>
      </c>
    </row>
    <row r="28" spans="1:4" ht="19.5" customHeight="1" x14ac:dyDescent="0.25">
      <c r="A28" s="88" t="s">
        <v>119</v>
      </c>
      <c r="B28" s="32" t="s">
        <v>107</v>
      </c>
      <c r="C28" s="35"/>
      <c r="D28" s="68" t="s">
        <v>269</v>
      </c>
    </row>
    <row r="29" spans="1:4" ht="24" customHeight="1" x14ac:dyDescent="0.25">
      <c r="A29" s="89"/>
      <c r="B29" s="32" t="s">
        <v>108</v>
      </c>
      <c r="C29" s="35"/>
      <c r="D29" s="68" t="s">
        <v>269</v>
      </c>
    </row>
    <row r="30" spans="1:4" ht="25.5" customHeight="1" x14ac:dyDescent="0.25">
      <c r="A30" s="89"/>
      <c r="B30" s="32" t="s">
        <v>109</v>
      </c>
      <c r="C30" s="35"/>
      <c r="D30" s="68" t="s">
        <v>269</v>
      </c>
    </row>
    <row r="31" spans="1:4" ht="24" customHeight="1" x14ac:dyDescent="0.25">
      <c r="A31" s="89"/>
      <c r="B31" s="32" t="s">
        <v>110</v>
      </c>
      <c r="C31" s="35"/>
      <c r="D31" s="68" t="s">
        <v>269</v>
      </c>
    </row>
    <row r="32" spans="1:4" ht="24.75" customHeight="1" x14ac:dyDescent="0.25">
      <c r="A32" s="90"/>
      <c r="B32" s="32" t="s">
        <v>111</v>
      </c>
      <c r="C32" s="35"/>
      <c r="D32" s="68" t="s">
        <v>269</v>
      </c>
    </row>
    <row r="34" spans="3:4" ht="36" customHeight="1" x14ac:dyDescent="0.25">
      <c r="C34" s="58" t="s">
        <v>29</v>
      </c>
      <c r="D34" s="59" t="str">
        <f ca="1">IF(SUM(COUNTIF(INDIRECT({"Validación!D9","Validación!D10","Validación!D21","Validación!D22","Validación!D23"}),"Criterio válidado"))=5,"SÍ - todos los criterios OBLIGATORIOS son válidos, pudes utilizar la calculadora.","NO - Unos criterios OBLIGATORIOS no han sido especificado o no se enjacan dentro de la calculadora, no puedes utilizarla con los criterios eligidos.")</f>
        <v>SÍ - todos los criterios OBLIGATORIOS son válidos, pudes utilizar la calculadora.</v>
      </c>
    </row>
  </sheetData>
  <sheetProtection sheet="1" objects="1" scenarios="1" formatColumns="0" formatRows="0"/>
  <mergeCells count="6">
    <mergeCell ref="A3:A7"/>
    <mergeCell ref="A28:A32"/>
    <mergeCell ref="A21:A25"/>
    <mergeCell ref="A9:A12"/>
    <mergeCell ref="A14:A15"/>
    <mergeCell ref="A17:A19"/>
  </mergeCells>
  <conditionalFormatting sqref="D34">
    <cfRule type="cellIs" dxfId="216" priority="62" operator="equal">
      <formula>"NO - Unos criterios OBLIGATORIOS no han sido especificado o no se enjacan dentro de la calculadora, no puedes utilizarla con los criterios eligidos."</formula>
    </cfRule>
    <cfRule type="cellIs" dxfId="215" priority="63" operator="equal">
      <formula>"SÍ - todos los criterios OBLIGATORIOS son válidos, pudes utilizar la calculadora."</formula>
    </cfRule>
  </conditionalFormatting>
  <conditionalFormatting sqref="D4">
    <cfRule type="cellIs" dxfId="214" priority="60" operator="notEqual">
      <formula>"Criterio válidado"</formula>
    </cfRule>
    <cfRule type="cellIs" dxfId="213" priority="61" operator="equal">
      <formula>"Criterio válidado"</formula>
    </cfRule>
  </conditionalFormatting>
  <conditionalFormatting sqref="D5">
    <cfRule type="cellIs" dxfId="212" priority="58" operator="notEqual">
      <formula>"Criterio válidado"</formula>
    </cfRule>
    <cfRule type="cellIs" dxfId="211" priority="59" operator="equal">
      <formula>"Criterio válidado"</formula>
    </cfRule>
  </conditionalFormatting>
  <conditionalFormatting sqref="D6">
    <cfRule type="cellIs" dxfId="210" priority="56" operator="notEqual">
      <formula>"Criterio válidado"</formula>
    </cfRule>
    <cfRule type="cellIs" dxfId="209" priority="57" operator="equal">
      <formula>"Criterio válidado"</formula>
    </cfRule>
  </conditionalFormatting>
  <conditionalFormatting sqref="D7">
    <cfRule type="cellIs" dxfId="208" priority="54" operator="notEqual">
      <formula>"Criterio válidado"</formula>
    </cfRule>
    <cfRule type="cellIs" dxfId="207" priority="55" operator="equal">
      <formula>"Criterio válidado"</formula>
    </cfRule>
  </conditionalFormatting>
  <conditionalFormatting sqref="D9">
    <cfRule type="cellIs" dxfId="206" priority="52" operator="notEqual">
      <formula>"Criterio válidado"</formula>
    </cfRule>
    <cfRule type="cellIs" dxfId="205" priority="53" operator="equal">
      <formula>"Criterio válidado"</formula>
    </cfRule>
  </conditionalFormatting>
  <conditionalFormatting sqref="D10">
    <cfRule type="cellIs" dxfId="204" priority="50" operator="notEqual">
      <formula>"Criterio válidado"</formula>
    </cfRule>
    <cfRule type="cellIs" dxfId="203" priority="51" operator="equal">
      <formula>"Criterio válidado"</formula>
    </cfRule>
  </conditionalFormatting>
  <conditionalFormatting sqref="D12">
    <cfRule type="cellIs" dxfId="202" priority="48" operator="notEqual">
      <formula>"Criterio válidado"</formula>
    </cfRule>
    <cfRule type="cellIs" dxfId="201" priority="49" operator="equal">
      <formula>"Criterio válidado"</formula>
    </cfRule>
  </conditionalFormatting>
  <conditionalFormatting sqref="D14">
    <cfRule type="cellIs" dxfId="200" priority="44" operator="notEqual">
      <formula>"Criterio válidado"</formula>
    </cfRule>
    <cfRule type="cellIs" dxfId="199" priority="45" operator="equal">
      <formula>"Criterio válidado"</formula>
    </cfRule>
  </conditionalFormatting>
  <conditionalFormatting sqref="D15">
    <cfRule type="cellIs" dxfId="198" priority="42" operator="notEqual">
      <formula>"Criterio válidado"</formula>
    </cfRule>
    <cfRule type="cellIs" dxfId="197" priority="43" operator="equal">
      <formula>"Criterio válidado"</formula>
    </cfRule>
  </conditionalFormatting>
  <conditionalFormatting sqref="D17">
    <cfRule type="cellIs" dxfId="196" priority="40" operator="notEqual">
      <formula>"Criterio válidado"</formula>
    </cfRule>
    <cfRule type="cellIs" dxfId="195" priority="41" operator="equal">
      <formula>"Criterio válidado"</formula>
    </cfRule>
  </conditionalFormatting>
  <conditionalFormatting sqref="D18">
    <cfRule type="cellIs" dxfId="194" priority="38" operator="notEqual">
      <formula>"Criterio válidado"</formula>
    </cfRule>
    <cfRule type="cellIs" dxfId="193" priority="39" operator="equal">
      <formula>"Criterio válidado"</formula>
    </cfRule>
  </conditionalFormatting>
  <conditionalFormatting sqref="D19">
    <cfRule type="cellIs" dxfId="192" priority="36" operator="notEqual">
      <formula>"Criterio válidado"</formula>
    </cfRule>
    <cfRule type="cellIs" dxfId="191" priority="37" operator="equal">
      <formula>"Criterio válidado"</formula>
    </cfRule>
  </conditionalFormatting>
  <conditionalFormatting sqref="D21">
    <cfRule type="cellIs" dxfId="190" priority="34" operator="notEqual">
      <formula>"Criterio válidado"</formula>
    </cfRule>
    <cfRule type="cellIs" dxfId="189" priority="35" operator="equal">
      <formula>"Criterio válidado"</formula>
    </cfRule>
  </conditionalFormatting>
  <conditionalFormatting sqref="D22">
    <cfRule type="cellIs" dxfId="188" priority="32" operator="notEqual">
      <formula>"Criterio válidado"</formula>
    </cfRule>
    <cfRule type="cellIs" dxfId="187" priority="33" operator="equal">
      <formula>"Criterio válidado"</formula>
    </cfRule>
  </conditionalFormatting>
  <conditionalFormatting sqref="D23">
    <cfRule type="cellIs" dxfId="186" priority="30" operator="notEqual">
      <formula>"Criterio válidado"</formula>
    </cfRule>
    <cfRule type="cellIs" dxfId="185" priority="31" operator="equal">
      <formula>"Criterio válidado"</formula>
    </cfRule>
  </conditionalFormatting>
  <conditionalFormatting sqref="D25">
    <cfRule type="cellIs" dxfId="184" priority="28" operator="notEqual">
      <formula>"Criterio válidado"</formula>
    </cfRule>
    <cfRule type="cellIs" dxfId="183" priority="29" operator="equal">
      <formula>"Criterio válidado"</formula>
    </cfRule>
  </conditionalFormatting>
  <conditionalFormatting sqref="D24">
    <cfRule type="cellIs" dxfId="182" priority="26" operator="notEqual">
      <formula>"Criterio válidado"</formula>
    </cfRule>
    <cfRule type="cellIs" dxfId="181" priority="27" operator="equal">
      <formula>"Criterio válidado"</formula>
    </cfRule>
  </conditionalFormatting>
  <conditionalFormatting sqref="D27">
    <cfRule type="cellIs" dxfId="180" priority="24" operator="notEqual">
      <formula>"Criterio válidado"</formula>
    </cfRule>
    <cfRule type="cellIs" dxfId="179" priority="25" operator="equal">
      <formula>"Criterio válidado"</formula>
    </cfRule>
  </conditionalFormatting>
  <conditionalFormatting sqref="C34">
    <cfRule type="expression" dxfId="178" priority="22">
      <formula>ISNUMBER(SEARCH("No",D34))</formula>
    </cfRule>
    <cfRule type="expression" dxfId="177" priority="23">
      <formula>ISNUMBER(SEARCH("Sí",D34))</formula>
    </cfRule>
  </conditionalFormatting>
  <conditionalFormatting sqref="D28">
    <cfRule type="notContainsText" dxfId="176" priority="5" operator="notContains" text="Escribas una descripción aqui para brindar más contexto sobre el servicio adicional">
      <formula>ISERROR(SEARCH("Escribas una descripción aqui para brindar más contexto sobre el servicio adicional",D28))</formula>
    </cfRule>
  </conditionalFormatting>
  <conditionalFormatting sqref="D29">
    <cfRule type="notContainsText" dxfId="175" priority="4" operator="notContains" text="Escribas una descripción aqui para brindar más contexto sobre el servicio adicional">
      <formula>ISERROR(SEARCH("Escribas una descripción aqui para brindar más contexto sobre el servicio adicional",D29))</formula>
    </cfRule>
  </conditionalFormatting>
  <conditionalFormatting sqref="D30">
    <cfRule type="notContainsText" dxfId="174" priority="3" operator="notContains" text="Escribas una descripción aqui para brindar más contexto sobre el servicio adicional">
      <formula>ISERROR(SEARCH("Escribas una descripción aqui para brindar más contexto sobre el servicio adicional",D30))</formula>
    </cfRule>
  </conditionalFormatting>
  <conditionalFormatting sqref="D31">
    <cfRule type="notContainsText" dxfId="173" priority="2" operator="notContains" text="Escribas una descripción aqui para brindar más contexto sobre el servicio adicional">
      <formula>ISERROR(SEARCH("Escribas una descripción aqui para brindar más contexto sobre el servicio adicional",D31))</formula>
    </cfRule>
  </conditionalFormatting>
  <conditionalFormatting sqref="D32">
    <cfRule type="notContainsText" dxfId="172" priority="1" operator="notContains" text="Escribas una descripción aqui para brindar más contexto sobre el servicio adicional">
      <formula>ISERROR(SEARCH("Escribas una descripción aqui para brindar más contexto sobre el servicio adicional",D32))</formula>
    </cfRule>
  </conditionalFormatting>
  <dataValidations xWindow="187" yWindow="537" count="35">
    <dataValidation allowBlank="1" showInputMessage="1" showErrorMessage="1" promptTitle="Numero de Aplicaciones" prompt="Se indica el numero de aplicaciones que tienen que ser analisado, instalado o migrado como parte de la oferta." sqref="B7"/>
    <dataValidation allowBlank="1" showInputMessage="1" showErrorMessage="1" promptTitle="Numero de Accounts" prompt="Se indica el numero de cuentas distintas en que la infraestrcutura de la oferta debe ser desplegado." sqref="B6"/>
    <dataValidation type="list" allowBlank="1" showInputMessage="1" showErrorMessage="1" sqref="C11 C14:C15 C4 C24:C25">
      <formula1>SiNoList</formula1>
    </dataValidation>
    <dataValidation type="list" allowBlank="1" showInputMessage="1" showErrorMessage="1" sqref="C17:C18">
      <formula1>ManagementList</formula1>
    </dataValidation>
    <dataValidation type="list" allowBlank="1" showInputMessage="1" showErrorMessage="1" sqref="C19">
      <formula1>BackupList</formula1>
    </dataValidation>
    <dataValidation type="whole" allowBlank="1" showInputMessage="1" showErrorMessage="1" errorTitle="# Accounts" error="# Accounts deben ser dentro de 1 y 50" sqref="C6">
      <formula1>1</formula1>
      <formula2>50</formula2>
    </dataValidation>
    <dataValidation type="whole" allowBlank="1" showInputMessage="1" showErrorMessage="1" errorTitle="# Aplicaciones" error="# Aplicaciones deben ser dentro de 0 y 50" sqref="C7">
      <formula1>0</formula1>
      <formula2>50</formula2>
    </dataValidation>
    <dataValidation type="whole" allowBlank="1" showInputMessage="1" showErrorMessage="1" errorTitle="# VPC" error="# VPC deben ser dentro de 1 y 20" sqref="C9">
      <formula1>1</formula1>
      <formula2>20</formula2>
    </dataValidation>
    <dataValidation type="whole" allowBlank="1" showInputMessage="1" showErrorMessage="1" errorTitle="# Subredes" error="# Subredes deben ser dentro de 1 y 50" sqref="C10">
      <formula1>1</formula1>
      <formula2>50</formula2>
    </dataValidation>
    <dataValidation type="list" allowBlank="1" showInputMessage="1" showErrorMessage="1" errorTitle="# VPC Peerings" error="# VPC Peerings deben ser dentro de 0 y 50" sqref="C12">
      <formula1>IF(C11="Sí",NoList,SiNoList)</formula1>
    </dataValidation>
    <dataValidation type="whole" allowBlank="1" showInputMessage="1" showErrorMessage="1" errorTitle="# Instancias MV Basicas" error="# Instancias MV Basicas deben ser dentro de 0 y 25" sqref="C21">
      <formula1>0</formula1>
      <formula2>25</formula2>
    </dataValidation>
    <dataValidation type="whole" allowBlank="1" showInputMessage="1" showErrorMessage="1" errorTitle="# Unidades de Object Storage" error="# Unidades de Object Storage deben ser dentro de 0 y 50" sqref="C22">
      <formula1>0</formula1>
      <formula2>50</formula2>
    </dataValidation>
    <dataValidation type="whole" allowBlank="1" showInputMessage="1" showErrorMessage="1" errorTitle="# Base de Datos SQL (PaaS)" error="# Base de Datos SQL (PaaS) deben ser dentro de 0 y 50" sqref="C23">
      <formula1>0</formula1>
      <formula2>50</formula2>
    </dataValidation>
    <dataValidation type="list" allowBlank="1" showInputMessage="1" showErrorMessage="1" sqref="C3">
      <formula1>NubePublicaList</formula1>
    </dataValidation>
    <dataValidation type="whole" allowBlank="1" showInputMessage="1" showErrorMessage="1" errorTitle="# Regions" error="# Regions deben ser dentro de 1 y 20" sqref="C5">
      <formula1>1</formula1>
      <formula2>20</formula2>
    </dataValidation>
    <dataValidation allowBlank="1" showInputMessage="1" showErrorMessage="1" promptTitle="Nube Publica" prompt="Se indica la Nube Publica de la oferta; AWS, Azure o GCP." sqref="B3"/>
    <dataValidation allowBlank="1" showInputMessage="1" showErrorMessage="1" promptTitle="Greenfield" prompt="En el contexto de ofertas cloud, un proyecto Greenfield se podría considerar como el diseño y despliegue de una infraestructura completamente desde cero, sin preocuparse por la integración con otros sistemas, especialmente no con algún sistema heredado." sqref="B4"/>
    <dataValidation allowBlank="1" showInputMessage="1" showErrorMessage="1" promptTitle="Numero de Regions" prompt="Se indica el numero de Regions del proveedor de la nube en que la infraestrcutura de la oferta debe ser desplegado." sqref="B5"/>
    <dataValidation allowBlank="1" showInputMessage="1" showErrorMessage="1" promptTitle="Numero de VPCs" prompt="Se indica el numero de VPCs que tienen que ser creado como parte de la oferta." sqref="B9"/>
    <dataValidation allowBlank="1" showInputMessage="1" showErrorMessage="1" promptTitle="Numero dde Aplicaciones" sqref="B8"/>
    <dataValidation allowBlank="1" showInputMessage="1" showErrorMessage="1" promptTitle="Numero de Subredes" prompt="Se indica el numero de Subredes que tienen que ser creado como parte de la oferta." sqref="B10"/>
    <dataValidation allowBlank="1" showInputMessage="1" showErrorMessage="1" promptTitle="Numero de VPC Peerings" prompt="Se indica si la oferta requiere un VPC Peering._x000a__x000a_Se puede incluir un VPC Peering solo cuando no hay más de 2 VPCs y no hay un On-Premises VPN." sqref="B12"/>
    <dataValidation allowBlank="1" showInputMessage="1" showErrorMessage="1" promptTitle="Conectividad On-Premises" prompt="Se indica si la oferta requiere conectividad On-Premises._x000a_Las condiciones son:_x000a_* un Site-to-Site VPN solamente_x000a_* ningun tipo de conexion dedicada_x000a_* ningun tipo de VPC Peering" sqref="B11"/>
    <dataValidation allowBlank="1" showInputMessage="1" showErrorMessage="1" promptTitle="Directory Service" prompt="Se indica si un Directory Service es requerido como parte de la oferta. _x000a_Tienes que marcar este campo con &quot;Sí&quot; si la oferta requiere cualquier tipo de instalación o conectividad con un Active Directory o servidor de LDAP ." sqref="B14"/>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15"/>
    <dataValidation allowBlank="1" showInputMessage="1" showErrorMessage="1" promptTitle="Logging" prompt="Tienes que marcar este campo con &quot;Configuración Avanzada&quot; si la oferta va a necesitar; instalación de un agente de logging, creación de custom alertas o metricas, creación de Event Handlers para responder a eventos, creación de un custom Dashboard." sqref="B17"/>
    <dataValidation allowBlank="1" showInputMessage="1" showErrorMessage="1" promptTitle="Monitoring" prompt="Tienes que marcar este campo con &quot;Configuración Avanzada&quot; si la oferta va a necesitar; instalación de un agente de monitoring, creación de custom alertas o metricas, creación de un custom Dashboard, configuración de servicios adicionales." sqref="B18"/>
    <dataValidation allowBlank="1" showInputMessage="1" showErrorMessage="1" promptTitle="Backup" prompt="Tienes que marcar este campo con &quot;Configuración Avanzada&quot; si la oferta va a necesitar una configuración de Back upque no es cubierto con la creación de Snapshots del disco o BBDD con frequencia diario." sqref="B19"/>
    <dataValidation allowBlank="1" showInputMessage="1" showErrorMessage="1" promptTitle="Numero de Instancias MV básicas" prompt="Se indica el numero de Instancias de Máquinas Virtuales básicas que tienen que ser desplegado como parte de la oferta._x000a_Una Máquina Virtual básica es una máquina que puede ser creado utilizando una imagen que ya existe en el MarketPlace." sqref="B21"/>
    <dataValidation allowBlank="1" showInputMessage="1" showErrorMessage="1" promptTitle="# Unidades de Object Storage" prompt="Se indica el numero de unidades de Object Storage que tienen que ser creado como parte de la oferta._x000a_Ejemplos de Object Storage son S3 Buckets, Azure Blob Storage o Google Cloud Storage." sqref="B22"/>
    <dataValidation allowBlank="1" showInputMessage="1" showErrorMessage="1" promptTitle="Numero de BBDD SQL (PaaS)" prompt="Se indica el numero de Base de Datos SQL (PaaS). El Base de Datos SQL (PaaS) puede ser configurado en una configuración Multi-AZ. En el caso de un Base de Datos SQL (PaaS) configurado en Multi-AZ, tienes que marcar una instancia sola." sqref="B23"/>
    <dataValidation allowBlank="1" showInputMessage="1" showErrorMessage="1" promptTitle="Scripts de automatización" prompt="Se indica si hay que crear scripts de automatización como parte de la oferta." sqref="B25"/>
    <dataValidation allowBlank="1" showInputMessage="1" showErrorMessage="1" promptTitle="Alta disponibilidad" prompt="Si indica si la oferta requiere un Load Balancer con Maquinas Virtuales en distinctas zonas de disponibilidad." sqref="B24"/>
    <dataValidation allowBlank="1" showInputMessage="1" showErrorMessage="1" promptTitle="Otros servicios" prompt="Tienes que marcar este campo con &quot;Sí&quot; si la oferta va a necesitar servicios que no se mencionen en los criterios arriba." sqref="B27"/>
    <dataValidation type="list" allowBlank="1" showInputMessage="1" showErrorMessage="1" sqref="C27">
      <formula1>IF(AND(C3&lt;&gt;"AWS",C3&lt;&gt;"Azure",C3&lt;&gt;"GCP"), NoList, SiNoList)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73" r:id="rId4" name="Service4ComboBox">
          <controlPr defaultSize="0" autoLine="0" listFillRange="NoList" r:id="rId5">
            <anchor moveWithCells="1">
              <from>
                <xdr:col>2</xdr:col>
                <xdr:colOff>28575</xdr:colOff>
                <xdr:row>30</xdr:row>
                <xdr:rowOff>28575</xdr:rowOff>
              </from>
              <to>
                <xdr:col>3</xdr:col>
                <xdr:colOff>0</xdr:colOff>
                <xdr:row>30</xdr:row>
                <xdr:rowOff>276225</xdr:rowOff>
              </to>
            </anchor>
          </controlPr>
        </control>
      </mc:Choice>
      <mc:Fallback>
        <control shapeId="2073" r:id="rId4" name="Service4ComboBox"/>
      </mc:Fallback>
    </mc:AlternateContent>
    <mc:AlternateContent xmlns:mc="http://schemas.openxmlformats.org/markup-compatibility/2006">
      <mc:Choice Requires="x14">
        <control shapeId="2072" r:id="rId6" name="Service3ComboBox">
          <controlPr defaultSize="0" autoLine="0" listFillRange="NoList" r:id="rId7">
            <anchor moveWithCells="1">
              <from>
                <xdr:col>2</xdr:col>
                <xdr:colOff>19050</xdr:colOff>
                <xdr:row>29</xdr:row>
                <xdr:rowOff>38100</xdr:rowOff>
              </from>
              <to>
                <xdr:col>2</xdr:col>
                <xdr:colOff>2667000</xdr:colOff>
                <xdr:row>29</xdr:row>
                <xdr:rowOff>295275</xdr:rowOff>
              </to>
            </anchor>
          </controlPr>
        </control>
      </mc:Choice>
      <mc:Fallback>
        <control shapeId="2072" r:id="rId6" name="Service3ComboBox"/>
      </mc:Fallback>
    </mc:AlternateContent>
    <mc:AlternateContent xmlns:mc="http://schemas.openxmlformats.org/markup-compatibility/2006">
      <mc:Choice Requires="x14">
        <control shapeId="2071" r:id="rId8" name="Service2ComboBox">
          <controlPr defaultSize="0" autoLine="0" autoPict="0" listFillRange="NoList" r:id="rId9">
            <anchor moveWithCells="1">
              <from>
                <xdr:col>2</xdr:col>
                <xdr:colOff>9525</xdr:colOff>
                <xdr:row>28</xdr:row>
                <xdr:rowOff>19050</xdr:rowOff>
              </from>
              <to>
                <xdr:col>2</xdr:col>
                <xdr:colOff>2667000</xdr:colOff>
                <xdr:row>28</xdr:row>
                <xdr:rowOff>285750</xdr:rowOff>
              </to>
            </anchor>
          </controlPr>
        </control>
      </mc:Choice>
      <mc:Fallback>
        <control shapeId="2071" r:id="rId8" name="Service2ComboBox"/>
      </mc:Fallback>
    </mc:AlternateContent>
    <mc:AlternateContent xmlns:mc="http://schemas.openxmlformats.org/markup-compatibility/2006">
      <mc:Choice Requires="x14">
        <control shapeId="2070" r:id="rId10" name="Service1ComboBox">
          <controlPr defaultSize="0" autoLine="0" autoPict="0" listFillRange="NoList" r:id="rId11">
            <anchor moveWithCells="1">
              <from>
                <xdr:col>2</xdr:col>
                <xdr:colOff>9525</xdr:colOff>
                <xdr:row>26</xdr:row>
                <xdr:rowOff>190500</xdr:rowOff>
              </from>
              <to>
                <xdr:col>3</xdr:col>
                <xdr:colOff>0</xdr:colOff>
                <xdr:row>28</xdr:row>
                <xdr:rowOff>9525</xdr:rowOff>
              </to>
            </anchor>
          </controlPr>
        </control>
      </mc:Choice>
      <mc:Fallback>
        <control shapeId="2070" r:id="rId10" name="Service1ComboBox"/>
      </mc:Fallback>
    </mc:AlternateContent>
    <mc:AlternateContent xmlns:mc="http://schemas.openxmlformats.org/markup-compatibility/2006">
      <mc:Choice Requires="x14">
        <control shapeId="2068" r:id="rId12" name="Service5ComboBox">
          <controlPr defaultSize="0" autoLine="0" autoPict="0" listFillRange="NoList" r:id="rId7">
            <anchor moveWithCells="1">
              <from>
                <xdr:col>2</xdr:col>
                <xdr:colOff>28575</xdr:colOff>
                <xdr:row>31</xdr:row>
                <xdr:rowOff>19050</xdr:rowOff>
              </from>
              <to>
                <xdr:col>3</xdr:col>
                <xdr:colOff>0</xdr:colOff>
                <xdr:row>31</xdr:row>
                <xdr:rowOff>276225</xdr:rowOff>
              </to>
            </anchor>
          </controlPr>
        </control>
      </mc:Choice>
      <mc:Fallback>
        <control shapeId="2068" r:id="rId12" name="Service5ComboBox"/>
      </mc:Fallback>
    </mc:AlternateContent>
    <mc:AlternateContent xmlns:mc="http://schemas.openxmlformats.org/markup-compatibility/2006">
      <mc:Choice Requires="x14">
        <control shapeId="2054" r:id="rId13" name="Button 6">
          <controlPr defaultSize="0" print="0" autoFill="0" autoPict="0" macro="[0]!Reset_Button_Click">
            <anchor moveWithCells="1" sizeWithCells="1">
              <from>
                <xdr:col>0</xdr:col>
                <xdr:colOff>0</xdr:colOff>
                <xdr:row>0</xdr:row>
                <xdr:rowOff>0</xdr:rowOff>
              </from>
              <to>
                <xdr:col>1</xdr:col>
                <xdr:colOff>0</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8"/>
  <sheetViews>
    <sheetView zoomScale="80" zoomScaleNormal="80" workbookViewId="0"/>
  </sheetViews>
  <sheetFormatPr defaultRowHeight="15" x14ac:dyDescent="0.25"/>
  <cols>
    <col min="1" max="1" width="30.42578125" style="11" bestFit="1" customWidth="1"/>
    <col min="2" max="2" width="54.42578125" style="11" customWidth="1"/>
    <col min="3" max="3" width="12.42578125" style="11" customWidth="1"/>
    <col min="4" max="4" width="15.42578125" style="11" bestFit="1" customWidth="1"/>
    <col min="5" max="5" width="29.42578125" style="11" bestFit="1" customWidth="1"/>
    <col min="6" max="6" width="20" style="11" customWidth="1"/>
    <col min="7" max="16384" width="9.140625" style="11"/>
  </cols>
  <sheetData>
    <row r="1" spans="1:11" ht="21" x14ac:dyDescent="0.35">
      <c r="A1" s="9" t="s">
        <v>38</v>
      </c>
      <c r="D1" s="9" t="s">
        <v>44</v>
      </c>
    </row>
    <row r="2" spans="1:11" x14ac:dyDescent="0.25">
      <c r="K2" s="81"/>
    </row>
    <row r="3" spans="1:11" x14ac:dyDescent="0.25">
      <c r="A3" s="3" t="s">
        <v>31</v>
      </c>
      <c r="B3" s="4" t="s">
        <v>32</v>
      </c>
      <c r="D3" s="4" t="s">
        <v>45</v>
      </c>
    </row>
    <row r="4" spans="1:11" x14ac:dyDescent="0.25">
      <c r="A4" s="5" t="s">
        <v>33</v>
      </c>
      <c r="B4" s="6" t="str">
        <f ca="1">IF(SUM(COUNTIF(INDIRECT({"Validación!D9","Validación!D10","Validación!D21","Validación!D22","Validación!D23"}),"Criterio válidado"))=5,IF(Validación!C3&lt;&gt;"",Validación!C3, "No aplica"),"No aplica")</f>
        <v>AWS</v>
      </c>
      <c r="D4" s="96" t="s">
        <v>45</v>
      </c>
      <c r="E4" s="36" t="s">
        <v>46</v>
      </c>
      <c r="F4" s="7" t="s">
        <v>50</v>
      </c>
    </row>
    <row r="5" spans="1:11" x14ac:dyDescent="0.25">
      <c r="A5" s="5" t="s">
        <v>30</v>
      </c>
      <c r="B5" s="6" t="str">
        <f ca="1">IF(SUM(COUNTIF(INDIRECT({"Validación!D9","Validación!D10","Validación!D21","Validación!D22","Validación!D23"}),"Criterio válidado"))=5, IF(Validación!C4="Sí", Validación!C4, "No aplica"),"No aplica")</f>
        <v>Sí</v>
      </c>
      <c r="D5" s="96"/>
      <c r="E5" s="36" t="s">
        <v>47</v>
      </c>
      <c r="F5" s="7" t="s">
        <v>50</v>
      </c>
    </row>
    <row r="6" spans="1:11" x14ac:dyDescent="0.25">
      <c r="A6" s="5" t="s">
        <v>28</v>
      </c>
      <c r="B6" s="6">
        <f ca="1">IF(SUM(COUNTIF(INDIRECT({"Validación!D9","Validación!D10","Validación!D21","Validación!D22","Validación!D23"}),"Criterio válidado"))=5, IF(Validación!C5&lt;&gt;1, "No aplica",Validación!C5),"No aplica")</f>
        <v>1</v>
      </c>
      <c r="D6" s="96"/>
      <c r="E6" s="36" t="s">
        <v>48</v>
      </c>
      <c r="F6" s="7" t="s">
        <v>50</v>
      </c>
    </row>
    <row r="7" spans="1:11" x14ac:dyDescent="0.25">
      <c r="A7" s="5" t="s">
        <v>1</v>
      </c>
      <c r="B7" s="6">
        <f ca="1">IF(SUM(COUNTIF(INDIRECT({"Validación!D9","Validación!D10","Validación!D21","Validación!D22","Validación!D23"}),"Criterio válidado"))=5, IF(Validación!C6&lt;&gt;1, "No aplica",Validación!C6),"No aplica")</f>
        <v>1</v>
      </c>
      <c r="D7" s="96"/>
      <c r="E7" s="36" t="s">
        <v>49</v>
      </c>
      <c r="F7" s="57" t="str">
        <f>IF(F6="Requerido","Aplica",IF(F6="No requerido","No aplica",""))</f>
        <v>Aplica</v>
      </c>
    </row>
    <row r="8" spans="1:11" x14ac:dyDescent="0.25">
      <c r="A8" s="5" t="s">
        <v>2</v>
      </c>
      <c r="B8" s="6">
        <f ca="1">IF(SUM(COUNTIF(INDIRECT({"Validación!D9","Validación!D10","Validación!D21","Validación!D22","Validación!D23"}),"Criterio válidado"))=5, IF(OR(Validación!C7&gt;0,Validación!C7=""), "No aplica",Validación!C7),"No aplica")</f>
        <v>0</v>
      </c>
    </row>
    <row r="9" spans="1:11" x14ac:dyDescent="0.25">
      <c r="A9" s="5" t="s">
        <v>5</v>
      </c>
      <c r="B9" s="6">
        <f ca="1">IF(SUM(COUNTIF(INDIRECT({"Validación!D9","Validación!D10","Validación!D21","Validación!D22","Validación!D23"}),"Criterio válidado"))=5, IF(OR(Validación!C9&gt;2,Validación!C9=""), "No aplica",Validación!C9),"No aplica")</f>
        <v>1</v>
      </c>
      <c r="D9" s="4" t="s">
        <v>270</v>
      </c>
    </row>
    <row r="10" spans="1:11" x14ac:dyDescent="0.25">
      <c r="A10" s="5" t="s">
        <v>6</v>
      </c>
      <c r="B10" s="6">
        <f ca="1">IF(SUM(COUNTIF(INDIRECT({"Validación!D9","Validación!D10","Validación!D21","Validación!D22","Validación!D23"}),"Criterio válidado"))=5, IF(OR(Validación!C10&gt;4,Validación!C10=""),"No aplica",Validación!C10),"No aplica")</f>
        <v>1</v>
      </c>
      <c r="D10" s="66" t="s">
        <v>270</v>
      </c>
      <c r="E10" s="37" t="s">
        <v>271</v>
      </c>
      <c r="F10" s="28" t="s">
        <v>22</v>
      </c>
    </row>
    <row r="11" spans="1:11" x14ac:dyDescent="0.25">
      <c r="A11" s="5" t="s">
        <v>24</v>
      </c>
      <c r="B11" s="6" t="str">
        <f ca="1">IF(SUM(COUNTIF(INDIRECT({"Validación!D9","Validación!D10","Validación!D21","Validación!D22","Validación!D23"}),"Criterio válidado"))=5,IF(Validación!C11="", "No aplica", Validación!C11),"No aplica")</f>
        <v>Sí</v>
      </c>
    </row>
    <row r="12" spans="1:11" x14ac:dyDescent="0.25">
      <c r="A12" s="5" t="s">
        <v>34</v>
      </c>
      <c r="B12" s="6" t="str">
        <f ca="1">IF(SUM(COUNTIF(INDIRECT({"Validación!D9","Validación!D10","Validación!D21","Validación!D22","Validación!D23"}),"Criterio válidado"))=5, IF((OR(Validación!C11="Sí",Validación!C9&gt;2)),"No",IF(Validación!C12&lt;&gt;"",Validación!C12,"No aplica")),"No aplica")</f>
        <v>No</v>
      </c>
      <c r="D12" s="4" t="s">
        <v>52</v>
      </c>
    </row>
    <row r="13" spans="1:11" x14ac:dyDescent="0.25">
      <c r="A13" s="5" t="s">
        <v>35</v>
      </c>
      <c r="B13" s="6" t="str">
        <f ca="1">IF(SUM(COUNTIF(INDIRECT({"Validación!D9","Validación!D10","Validación!D21","Validación!D22","Validación!D23"}),"Criterio válidado"))=5, IF(Validación!C14&lt;&gt;"No", "No aplica", Validación!C14), "No aplica")</f>
        <v>No</v>
      </c>
      <c r="D13" s="66" t="s">
        <v>52</v>
      </c>
      <c r="E13" s="37" t="s">
        <v>37</v>
      </c>
      <c r="F13" s="69">
        <v>0</v>
      </c>
    </row>
    <row r="14" spans="1:11" x14ac:dyDescent="0.25">
      <c r="A14" s="5" t="s">
        <v>43</v>
      </c>
      <c r="B14" s="6" t="str">
        <f ca="1">IF(SUM(COUNTIF(INDIRECT({"Validación!D9","Validación!D10","Validación!D21","Validación!D22","Validación!D23"}),"Criterio válidado"))=5,IF(Validación!C15&lt;&gt;"No", "No aplica", Validación!C15), "No aplica")</f>
        <v>No</v>
      </c>
    </row>
    <row r="15" spans="1:11" x14ac:dyDescent="0.25">
      <c r="A15" s="5" t="s">
        <v>12</v>
      </c>
      <c r="B15" s="6" t="str">
        <f ca="1">IF(SUM(COUNTIF(INDIRECT({"Validación!D9","Validación!D10","Validación!D21","Validación!D22","Validación!D23"}),"Criterio válidado"))=5, IF(Validación!C17&lt;&gt;"Por defecto", "No aplica", Validación!C17), "No aplica")</f>
        <v>Por defecto</v>
      </c>
      <c r="D15" s="80" t="s">
        <v>556</v>
      </c>
    </row>
    <row r="16" spans="1:11" x14ac:dyDescent="0.25">
      <c r="A16" s="5" t="s">
        <v>13</v>
      </c>
      <c r="B16" s="6" t="str">
        <f ca="1">IF(SUM(COUNTIF(INDIRECT({"Validación!D9","Validación!D10","Validación!D21","Validación!D22","Validación!D23"}),"Criterio válidado"))=5, IF(Validación!C18&lt;&gt;"Por defecto", "No aplica", Validación!C18), "No aplica")</f>
        <v>Por defecto</v>
      </c>
      <c r="D16" s="79" t="s">
        <v>555</v>
      </c>
      <c r="E16" s="37" t="s">
        <v>558</v>
      </c>
      <c r="F16" s="83" t="s">
        <v>563</v>
      </c>
    </row>
    <row r="17" spans="1:10" x14ac:dyDescent="0.25">
      <c r="A17" s="5" t="s">
        <v>14</v>
      </c>
      <c r="B17" s="6" t="str">
        <f ca="1">IF(SUM(COUNTIF(INDIRECT({"Validación!D9","Validación!D10","Validación!D21","Validación!D22","Validación!D23"}),"Criterio válidado"))=5, IF(Validación!C19&lt;&gt;"Snapshots (1 diario)", "No aplica", Validación!C19), "No aplica")</f>
        <v>Snapshots (1 diario)</v>
      </c>
      <c r="D17" s="79" t="s">
        <v>557</v>
      </c>
      <c r="E17" s="37" t="s">
        <v>561</v>
      </c>
      <c r="F17" s="85">
        <v>43874</v>
      </c>
    </row>
    <row r="18" spans="1:10" x14ac:dyDescent="0.25">
      <c r="A18" s="5" t="s">
        <v>36</v>
      </c>
      <c r="B18" s="6">
        <f ca="1">IF(SUM(COUNTIF(INDIRECT({"Validación!D9","Validación!D10","Validación!D21","Validación!D22","Validación!D23"}),"Criterio válidado"))=5, IF(OR(Validación!C21&gt;10,Validación!C21=""), "No aplica",Validación!C21),"No aplica")</f>
        <v>3</v>
      </c>
      <c r="D18" s="84" t="s">
        <v>559</v>
      </c>
      <c r="E18" s="37" t="s">
        <v>560</v>
      </c>
      <c r="F18" s="83" t="s">
        <v>564</v>
      </c>
    </row>
    <row r="19" spans="1:10" x14ac:dyDescent="0.25">
      <c r="A19" s="5" t="s">
        <v>26</v>
      </c>
      <c r="B19" s="6">
        <f ca="1">IF(SUM(COUNTIF(INDIRECT({"Validación!D9","Validación!D10","Validación!D21","Validación!D22","Validación!D23"}),"Criterio válidado"))=5, IF(OR(Validación!C22&gt;2,Validación!C22=""), "No aplica",Validación!C22),"No aplica")</f>
        <v>1</v>
      </c>
    </row>
    <row r="20" spans="1:10" x14ac:dyDescent="0.25">
      <c r="A20" s="5" t="s">
        <v>17</v>
      </c>
      <c r="B20" s="6">
        <f ca="1">IF(SUM(COUNTIF(INDIRECT({"Validación!D9","Validación!D10","Validación!D21","Validación!D22","Validación!D23"}),"Criterio válidado"))=5, IF(OR(Validación!C23&gt;2,Validación!C23=""), "No aplica",Validación!C23),"No aplica")</f>
        <v>0</v>
      </c>
    </row>
    <row r="21" spans="1:10" x14ac:dyDescent="0.25">
      <c r="A21" s="5" t="s">
        <v>105</v>
      </c>
      <c r="B21" s="6" t="str">
        <f ca="1">IF(SUM(COUNTIF(INDIRECT({"Validación!D9","Validación!D10","Validación!D21","Validación!D22","Validación!D23"}),"Criterio válidado"))=5, IF(Validación!C24="", "No aplica", Validación!C24), "No aplica")</f>
        <v>No</v>
      </c>
    </row>
    <row r="22" spans="1:10" x14ac:dyDescent="0.25">
      <c r="A22" s="5" t="s">
        <v>18</v>
      </c>
      <c r="B22" s="6" t="str">
        <f ca="1">IF(SUM(COUNTIF(INDIRECT({"Validación!D9","Validación!D10","Validación!D21","Validación!D22","Validación!D23"}),"Criterio válidado"))=5,IF(Validación!C25&lt;&gt;"No","No aplica",Validación!C25),"No aplica")</f>
        <v>No</v>
      </c>
    </row>
    <row r="23" spans="1:10" x14ac:dyDescent="0.25">
      <c r="A23" s="5" t="s">
        <v>19</v>
      </c>
      <c r="B23" s="62" t="str">
        <f ca="1">IF(SUM(COUNTIF(INDIRECT({"Validación!D9","Validación!D10","Validación!D21","Validación!D22","Validación!D23"}),"Criterio válidado"))=5, IF(Validación!C27="Sí","Cálculo manual", IF(Validación!C27="No","No",IF(Validación!C27="","No aplica", "No aplica"))), "No aplica")</f>
        <v>No</v>
      </c>
    </row>
    <row r="24" spans="1:10" x14ac:dyDescent="0.25">
      <c r="A24" s="63" t="s">
        <v>107</v>
      </c>
      <c r="B24" s="61" t="str">
        <f ca="1">IF(SUM(COUNTIF(INDIRECT({"Validación!D9","Validación!D10","Validación!D21","Validación!D22","Validación!D23"}),"Criterio válidado"))=5, IF(AND(Validación!C27="Sí",getComboBoxValue("Service1ComboBox")&lt;&gt;""), getComboBoxValue("Service1ComboBox") &amp; " (cálculo manual)", "No aplica"),"No aplica")</f>
        <v>No aplica</v>
      </c>
      <c r="C24" s="94" t="str">
        <f>IF(AND(Validación!C27="Sí", Validación!D28&lt;&gt;"",Validación!D28&lt;&gt;"Escribas una descripción aqui para brindar más contexto sobre el servicio adicional"),"* " &amp; Validación!D28,"")</f>
        <v/>
      </c>
      <c r="D24" s="95"/>
      <c r="E24" s="95"/>
      <c r="F24" s="95"/>
      <c r="G24" s="67"/>
      <c r="H24" s="67"/>
      <c r="I24" s="67"/>
      <c r="J24" s="67"/>
    </row>
    <row r="25" spans="1:10" x14ac:dyDescent="0.25">
      <c r="A25" s="63" t="s">
        <v>108</v>
      </c>
      <c r="B25" s="61" t="str">
        <f ca="1">IF(SUM(COUNTIF(INDIRECT({"Validación!D9","Validación!D10","Validación!D21","Validación!D22","Validación!D23"}),"Criterio válidado"))=5, IF(AND(Validación!C27="Sí",getComboBoxValue("Service2ComboBox")&lt;&gt;""), getComboBoxValue("Service2ComboBox") &amp; " (cálculo manual)", "No aplica"),"No aplica")</f>
        <v>No aplica</v>
      </c>
      <c r="C25" s="94" t="str">
        <f>IF(AND(Validación!C27="Sí", Validación!D29&lt;&gt;"",Validación!D29&lt;&gt;"Escribas una descripción aqui para brindar más contexto sobre el servicio adicional"),"* " &amp; Validación!D29,"")</f>
        <v/>
      </c>
      <c r="D25" s="95"/>
      <c r="E25" s="95"/>
      <c r="F25" s="95"/>
    </row>
    <row r="26" spans="1:10" x14ac:dyDescent="0.25">
      <c r="A26" s="63" t="s">
        <v>109</v>
      </c>
      <c r="B26" s="61" t="str">
        <f ca="1">IF(SUM(COUNTIF(INDIRECT({"Validación!D9","Validación!D10","Validación!D21","Validación!D22","Validación!D23"}),"Criterio válidado"))=5, IF(AND(Validación!C27="Sí",getComboBoxValue("Service3ComboBox")&lt;&gt;""), getComboBoxValue("Service3ComboBox") &amp; " (cálculo manual)", "No aplica"),"No aplica")</f>
        <v>No aplica</v>
      </c>
      <c r="C26" s="94" t="str">
        <f>IF(AND(Validación!C27="Sí", Validación!D30&lt;&gt;"",Validación!D30&lt;&gt;"Escribas una descripción aqui para brindar más contexto sobre el servicio adicional"),"* " &amp; Validación!D30,"")</f>
        <v/>
      </c>
      <c r="D26" s="95"/>
      <c r="E26" s="95"/>
      <c r="F26" s="95"/>
    </row>
    <row r="27" spans="1:10" x14ac:dyDescent="0.25">
      <c r="A27" s="63" t="s">
        <v>110</v>
      </c>
      <c r="B27" s="61" t="str">
        <f ca="1">IF(SUM(COUNTIF(INDIRECT({"Validación!D9","Validación!D10","Validación!D21","Validación!D22","Validación!D23"}),"Criterio válidado"))=5, IF(AND(Validación!C27="Sí",getComboBoxValue("Service4ComboBox")&lt;&gt;""), getComboBoxValue("Service4ComboBox") &amp; " (cálculo manual)", "No aplica"),"No aplica")</f>
        <v>No aplica</v>
      </c>
      <c r="C27" s="94" t="str">
        <f>IF(AND(Validación!C27="Sí", Validación!D31&lt;&gt;"",Validación!D31&lt;&gt;"Escribas una descripción aqui para brindar más contexto sobre el servicio adicional"),"* " &amp; Validación!D31,"")</f>
        <v/>
      </c>
      <c r="D27" s="95"/>
      <c r="E27" s="95"/>
      <c r="F27" s="95"/>
    </row>
    <row r="28" spans="1:10" x14ac:dyDescent="0.25">
      <c r="A28" s="63" t="s">
        <v>111</v>
      </c>
      <c r="B28" s="61" t="str">
        <f ca="1">IF(SUM(COUNTIF(INDIRECT({"Validación!D9","Validación!D10","Validación!D21","Validación!D22","Validación!D23"}),"Criterio válidado"))=5, IF(AND(Validación!C27="Sí",getComboBoxValue("Service5ComboBox")&lt;&gt;""), getComboBoxValue("Service5ComboBox") &amp; " (cálculo manual)", "No aplica"),"No aplica")</f>
        <v>No aplica</v>
      </c>
      <c r="C28" s="94" t="str">
        <f>IF(AND(Validación!C27="Sí", Validación!D32&lt;&gt;"",Validación!D32&lt;&gt;"Escribas una descripción aqui para brindar más contexto sobre el servicio adicional"),"* " &amp; Validación!D32,"")</f>
        <v/>
      </c>
      <c r="D28" s="95"/>
      <c r="E28" s="95"/>
      <c r="F28" s="95"/>
    </row>
  </sheetData>
  <sheetProtection sheet="1" objects="1" scenarios="1" formatColumns="0" formatRows="0"/>
  <mergeCells count="6">
    <mergeCell ref="C27:F27"/>
    <mergeCell ref="C28:F28"/>
    <mergeCell ref="D4:D7"/>
    <mergeCell ref="C24:F24"/>
    <mergeCell ref="C25:F25"/>
    <mergeCell ref="C26:F26"/>
  </mergeCells>
  <conditionalFormatting sqref="B4">
    <cfRule type="containsText" dxfId="171" priority="80" operator="containsText" text="No aplica">
      <formula>NOT(ISERROR(SEARCH("No aplica",B4)))</formula>
    </cfRule>
  </conditionalFormatting>
  <conditionalFormatting sqref="A4 A21">
    <cfRule type="expression" dxfId="170" priority="79">
      <formula>$B4="No aplica"</formula>
    </cfRule>
  </conditionalFormatting>
  <conditionalFormatting sqref="B5">
    <cfRule type="containsText" dxfId="169" priority="78" operator="containsText" text="No aplica">
      <formula>NOT(ISERROR(SEARCH("No aplica",B5)))</formula>
    </cfRule>
  </conditionalFormatting>
  <conditionalFormatting sqref="B6">
    <cfRule type="containsText" dxfId="168" priority="76" operator="containsText" text="No aplica">
      <formula>NOT(ISERROR(SEARCH("No aplica",B6)))</formula>
    </cfRule>
  </conditionalFormatting>
  <conditionalFormatting sqref="B7">
    <cfRule type="containsText" dxfId="167" priority="75" operator="containsText" text="No aplica">
      <formula>NOT(ISERROR(SEARCH("No aplica",B7)))</formula>
    </cfRule>
  </conditionalFormatting>
  <conditionalFormatting sqref="B8">
    <cfRule type="containsText" dxfId="166" priority="74" operator="containsText" text="No aplica">
      <formula>NOT(ISERROR(SEARCH("No aplica",B8)))</formula>
    </cfRule>
  </conditionalFormatting>
  <conditionalFormatting sqref="B9">
    <cfRule type="containsText" dxfId="165" priority="73" operator="containsText" text="No aplica">
      <formula>NOT(ISERROR(SEARCH("No aplica",B9)))</formula>
    </cfRule>
  </conditionalFormatting>
  <conditionalFormatting sqref="B10">
    <cfRule type="containsText" dxfId="164" priority="72" operator="containsText" text="No aplica">
      <formula>NOT(ISERROR(SEARCH("No aplica",B10)))</formula>
    </cfRule>
  </conditionalFormatting>
  <conditionalFormatting sqref="B11">
    <cfRule type="containsText" dxfId="163" priority="71" operator="containsText" text="No aplica">
      <formula>NOT(ISERROR(SEARCH("No aplica",B11)))</formula>
    </cfRule>
  </conditionalFormatting>
  <conditionalFormatting sqref="B13">
    <cfRule type="containsText" dxfId="162" priority="69" operator="containsText" text="No aplica">
      <formula>NOT(ISERROR(SEARCH("No aplica",B13)))</formula>
    </cfRule>
  </conditionalFormatting>
  <conditionalFormatting sqref="B14">
    <cfRule type="containsText" dxfId="161" priority="68" operator="containsText" text="No aplica">
      <formula>NOT(ISERROR(SEARCH("No aplica",B14)))</formula>
    </cfRule>
  </conditionalFormatting>
  <conditionalFormatting sqref="B15">
    <cfRule type="containsText" dxfId="160" priority="67" operator="containsText" text="No aplica">
      <formula>NOT(ISERROR(SEARCH("No aplica",B15)))</formula>
    </cfRule>
  </conditionalFormatting>
  <conditionalFormatting sqref="B16">
    <cfRule type="containsText" dxfId="159" priority="66" operator="containsText" text="No aplica">
      <formula>NOT(ISERROR(SEARCH("No aplica",B16)))</formula>
    </cfRule>
  </conditionalFormatting>
  <conditionalFormatting sqref="B17">
    <cfRule type="containsText" dxfId="158" priority="65" operator="containsText" text="No aplica">
      <formula>NOT(ISERROR(SEARCH("No aplica",B17)))</formula>
    </cfRule>
  </conditionalFormatting>
  <conditionalFormatting sqref="B18">
    <cfRule type="containsText" dxfId="157" priority="64" operator="containsText" text="No aplica">
      <formula>NOT(ISERROR(SEARCH("No aplica",B18)))</formula>
    </cfRule>
  </conditionalFormatting>
  <conditionalFormatting sqref="B19">
    <cfRule type="containsText" dxfId="156" priority="63" operator="containsText" text="No aplica">
      <formula>NOT(ISERROR(SEARCH("No aplica",B19)))</formula>
    </cfRule>
  </conditionalFormatting>
  <conditionalFormatting sqref="B20">
    <cfRule type="containsText" dxfId="155" priority="62" operator="containsText" text="No aplica">
      <formula>NOT(ISERROR(SEARCH("No aplica",B20)))</formula>
    </cfRule>
  </conditionalFormatting>
  <conditionalFormatting sqref="B22">
    <cfRule type="containsText" dxfId="154" priority="61" operator="containsText" text="No aplica">
      <formula>NOT(ISERROR(SEARCH("No aplica",B22)))</formula>
    </cfRule>
  </conditionalFormatting>
  <conditionalFormatting sqref="B21">
    <cfRule type="containsText" dxfId="153" priority="60" operator="containsText" text="No aplica">
      <formula>NOT(ISERROR(SEARCH("No aplica",B21)))</formula>
    </cfRule>
  </conditionalFormatting>
  <conditionalFormatting sqref="B23">
    <cfRule type="containsText" dxfId="152" priority="34" operator="containsText" text="No aplica">
      <formula>NOT(ISERROR(SEARCH("No aplica",B23)))</formula>
    </cfRule>
    <cfRule type="containsText" dxfId="151" priority="59" operator="containsText" text="Cálculo manual">
      <formula>NOT(ISERROR(SEARCH("Cálculo manual",B23)))</formula>
    </cfRule>
  </conditionalFormatting>
  <conditionalFormatting sqref="A5">
    <cfRule type="expression" dxfId="150" priority="58">
      <formula>$B5="No aplica"</formula>
    </cfRule>
  </conditionalFormatting>
  <conditionalFormatting sqref="A6">
    <cfRule type="expression" dxfId="149" priority="57">
      <formula>$B6="No aplica"</formula>
    </cfRule>
  </conditionalFormatting>
  <conditionalFormatting sqref="A7">
    <cfRule type="expression" dxfId="148" priority="56">
      <formula>$B7="No aplica"</formula>
    </cfRule>
  </conditionalFormatting>
  <conditionalFormatting sqref="A8">
    <cfRule type="expression" dxfId="147" priority="54">
      <formula>$B8="No aplica"</formula>
    </cfRule>
    <cfRule type="expression" dxfId="146" priority="55">
      <formula>$B8="No aplica"</formula>
    </cfRule>
  </conditionalFormatting>
  <conditionalFormatting sqref="A9">
    <cfRule type="expression" dxfId="145" priority="53">
      <formula>$B9="No aplica"</formula>
    </cfRule>
  </conditionalFormatting>
  <conditionalFormatting sqref="A10">
    <cfRule type="expression" dxfId="144" priority="52">
      <formula>$B10="No aplica"</formula>
    </cfRule>
  </conditionalFormatting>
  <conditionalFormatting sqref="A11">
    <cfRule type="expression" dxfId="143" priority="51">
      <formula>$B11="No aplica"</formula>
    </cfRule>
  </conditionalFormatting>
  <conditionalFormatting sqref="A12">
    <cfRule type="expression" dxfId="142" priority="50">
      <formula>$B12="No aplica"</formula>
    </cfRule>
  </conditionalFormatting>
  <conditionalFormatting sqref="A13">
    <cfRule type="expression" dxfId="141" priority="49">
      <formula>$B13="No aplica"</formula>
    </cfRule>
  </conditionalFormatting>
  <conditionalFormatting sqref="A14">
    <cfRule type="expression" dxfId="140" priority="48">
      <formula>$B14="No aplica"</formula>
    </cfRule>
  </conditionalFormatting>
  <conditionalFormatting sqref="A15">
    <cfRule type="expression" dxfId="139" priority="47">
      <formula>$B15="No aplica"</formula>
    </cfRule>
  </conditionalFormatting>
  <conditionalFormatting sqref="A16">
    <cfRule type="expression" dxfId="138" priority="46">
      <formula>$B16="No aplica"</formula>
    </cfRule>
  </conditionalFormatting>
  <conditionalFormatting sqref="A17">
    <cfRule type="expression" dxfId="137" priority="45">
      <formula>$B17="No aplica"</formula>
    </cfRule>
  </conditionalFormatting>
  <conditionalFormatting sqref="A18">
    <cfRule type="expression" dxfId="136" priority="44">
      <formula>$B18="No aplica"</formula>
    </cfRule>
  </conditionalFormatting>
  <conditionalFormatting sqref="A19">
    <cfRule type="expression" dxfId="135" priority="43">
      <formula>$B19="No aplica"</formula>
    </cfRule>
  </conditionalFormatting>
  <conditionalFormatting sqref="A20">
    <cfRule type="expression" dxfId="134" priority="42">
      <formula>$B20="No aplica"</formula>
    </cfRule>
  </conditionalFormatting>
  <conditionalFormatting sqref="A22">
    <cfRule type="expression" dxfId="133" priority="41">
      <formula>$B22="No aplica"</formula>
    </cfRule>
  </conditionalFormatting>
  <conditionalFormatting sqref="A23">
    <cfRule type="expression" dxfId="132" priority="33">
      <formula>$B23="No aplica"</formula>
    </cfRule>
    <cfRule type="expression" dxfId="131" priority="39">
      <formula>$B23="Cálculo manual"</formula>
    </cfRule>
  </conditionalFormatting>
  <conditionalFormatting sqref="B12">
    <cfRule type="containsText" dxfId="130" priority="38" operator="containsText" text="No aplica">
      <formula>NOT(ISERROR(SEARCH("No aplica",B12)))</formula>
    </cfRule>
  </conditionalFormatting>
  <conditionalFormatting sqref="B24">
    <cfRule type="expression" dxfId="129" priority="13">
      <formula>B23="No"</formula>
    </cfRule>
    <cfRule type="containsText" dxfId="128" priority="32" operator="containsText" text="No aplica">
      <formula>NOT(ISERROR(SEARCH("No aplica",B24)))</formula>
    </cfRule>
    <cfRule type="expression" dxfId="127" priority="37">
      <formula>$B23="No aplica"</formula>
    </cfRule>
  </conditionalFormatting>
  <conditionalFormatting sqref="B25">
    <cfRule type="expression" dxfId="126" priority="12">
      <formula>B23="No"</formula>
    </cfRule>
    <cfRule type="containsText" dxfId="125" priority="30" operator="containsText" text="No aplica">
      <formula>NOT(ISERROR(SEARCH("No aplica",B25)))</formula>
    </cfRule>
    <cfRule type="expression" dxfId="124" priority="31">
      <formula>$B23="No aplica"</formula>
    </cfRule>
  </conditionalFormatting>
  <conditionalFormatting sqref="B26">
    <cfRule type="expression" dxfId="123" priority="11">
      <formula>B23="No"</formula>
    </cfRule>
    <cfRule type="containsText" dxfId="122" priority="28" operator="containsText" text="No aplica">
      <formula>NOT(ISERROR(SEARCH("No aplica",B26)))</formula>
    </cfRule>
    <cfRule type="expression" dxfId="121" priority="29">
      <formula>$B23="No aplica"</formula>
    </cfRule>
  </conditionalFormatting>
  <conditionalFormatting sqref="B27">
    <cfRule type="expression" dxfId="120" priority="10">
      <formula>B23="No"</formula>
    </cfRule>
    <cfRule type="containsText" dxfId="119" priority="26" operator="containsText" text="No aplica">
      <formula>NOT(ISERROR(SEARCH("No aplica",B27)))</formula>
    </cfRule>
    <cfRule type="expression" dxfId="118" priority="27">
      <formula>$B23="No aplica"</formula>
    </cfRule>
  </conditionalFormatting>
  <conditionalFormatting sqref="B28">
    <cfRule type="expression" dxfId="117" priority="9">
      <formula>B23="No"</formula>
    </cfRule>
    <cfRule type="containsText" dxfId="116" priority="24" operator="containsText" text="No aplica">
      <formula>NOT(ISERROR(SEARCH("No aplica",B28)))</formula>
    </cfRule>
    <cfRule type="expression" dxfId="115" priority="25">
      <formula>$B23="No aplica"</formula>
    </cfRule>
  </conditionalFormatting>
  <conditionalFormatting sqref="A24">
    <cfRule type="expression" dxfId="114" priority="8">
      <formula>B23="No"</formula>
    </cfRule>
    <cfRule type="expression" dxfId="113" priority="22">
      <formula>B24="No aplica"</formula>
    </cfRule>
    <cfRule type="expression" dxfId="112" priority="23">
      <formula>$B23="No aplica"</formula>
    </cfRule>
  </conditionalFormatting>
  <conditionalFormatting sqref="A25">
    <cfRule type="expression" dxfId="111" priority="7">
      <formula>B23="No"</formula>
    </cfRule>
    <cfRule type="expression" dxfId="110" priority="20">
      <formula>B25="No aplica"</formula>
    </cfRule>
    <cfRule type="expression" dxfId="109" priority="21">
      <formula>$B23="No aplica"</formula>
    </cfRule>
  </conditionalFormatting>
  <conditionalFormatting sqref="A26">
    <cfRule type="expression" dxfId="108" priority="6">
      <formula>B23="No"</formula>
    </cfRule>
    <cfRule type="expression" dxfId="107" priority="18">
      <formula>B26="No aplica"</formula>
    </cfRule>
    <cfRule type="expression" dxfId="106" priority="19">
      <formula>$B23="No aplica"</formula>
    </cfRule>
  </conditionalFormatting>
  <conditionalFormatting sqref="A27">
    <cfRule type="expression" dxfId="105" priority="5">
      <formula>B23="No"</formula>
    </cfRule>
    <cfRule type="expression" dxfId="104" priority="16">
      <formula>B27="No aplica"</formula>
    </cfRule>
    <cfRule type="expression" dxfId="103" priority="17">
      <formula>$B23="No aplica"</formula>
    </cfRule>
  </conditionalFormatting>
  <conditionalFormatting sqref="A28">
    <cfRule type="expression" dxfId="102" priority="4">
      <formula>B23="No"</formula>
    </cfRule>
    <cfRule type="expression" dxfId="101" priority="14">
      <formula>B28="No aplica"</formula>
    </cfRule>
    <cfRule type="expression" dxfId="100" priority="15">
      <formula>$B23="No aplica"</formula>
    </cfRule>
  </conditionalFormatting>
  <dataValidations xWindow="835" yWindow="199" count="6">
    <dataValidation allowBlank="1" showInputMessage="1" showErrorMessage="1" promptTitle="Soporte" prompt="La fase de Soporte es compuesto de un apoyo a la nueva infraestructura y mejora continua del negocio con nuevas características" sqref="E9 E7 E12"/>
    <dataValidation allowBlank="1" showInputMessage="1" showErrorMessage="1" promptTitle="Migración" prompt="La fase de Migracion es compuesto de una migración sin fisuras a la nueva arquitectura cloud con un impacto mínimo en las operaciones" sqref="E8"/>
    <dataValidation allowBlank="1" showInputMessage="1" showErrorMessage="1" promptTitle="Implantación" prompt="La fase de Implantacion es compuesto del despliegue de la arquitectura cloud más factible, basado en las recomendaciones de la fase de Recopilar requisitos" sqref="E6"/>
    <dataValidation allowBlank="1" showInputMessage="1" showErrorMessage="1" promptTitle="Diseño" prompt="La fase de Diseño y aprobacion es compuesto del diseño y aprobacion de la arquitectura cloud más factible, basado en las recomendaciones de la fase de Recopilar requisitos" sqref="E5"/>
    <dataValidation allowBlank="1" showInputMessage="1" showErrorMessage="1" promptTitle="Recopilar requisitos" prompt="La fase de Análisis es compuesto del analysis de las aplicaciones para conocer la viabilidad de llevarlas a cloud, y preparación de un plan de migración y un caso de negocio" sqref="E4"/>
    <dataValidation type="list" allowBlank="1" showInputMessage="1" showErrorMessage="1" sqref="F4:F6">
      <formula1>RequeridoList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835" yWindow="199" count="1">
        <x14:dataValidation type="list" allowBlank="1" showInputMessage="1" showErrorMessage="1">
          <x14:formula1>
            <xm:f>IF(OR(Validación!C3="AWS",Validación!C3="Azure"),SiNoList,NoList)</xm:f>
          </x14:formula1>
          <xm:sqref>F10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
  <sheetViews>
    <sheetView zoomScale="80" zoomScaleNormal="80" workbookViewId="0"/>
  </sheetViews>
  <sheetFormatPr defaultRowHeight="15" x14ac:dyDescent="0.25"/>
  <cols>
    <col min="1" max="1" width="33.5703125" style="11" bestFit="1" customWidth="1"/>
    <col min="2" max="2" width="34.7109375" style="11" customWidth="1"/>
    <col min="3" max="3" width="23.28515625" style="11" bestFit="1" customWidth="1"/>
    <col min="4" max="4" width="15.28515625" style="11" customWidth="1"/>
    <col min="5" max="5" width="12" style="11" bestFit="1" customWidth="1"/>
    <col min="6" max="6" width="5.42578125" style="11" customWidth="1"/>
    <col min="7" max="8" width="12" style="11" customWidth="1"/>
    <col min="9" max="9" width="4.7109375" style="11" customWidth="1"/>
    <col min="10" max="10" width="27.42578125" style="11" bestFit="1" customWidth="1"/>
    <col min="11" max="11" width="51.28515625" style="11" customWidth="1"/>
    <col min="12" max="16384" width="9.140625" style="11"/>
  </cols>
  <sheetData>
    <row r="1" spans="1:11" ht="21" x14ac:dyDescent="0.35">
      <c r="D1" s="97" t="s">
        <v>551</v>
      </c>
      <c r="E1" s="97"/>
      <c r="F1" s="72"/>
      <c r="G1" s="97" t="s">
        <v>552</v>
      </c>
      <c r="H1" s="97"/>
    </row>
    <row r="2" spans="1:11" ht="21" x14ac:dyDescent="0.35">
      <c r="A2" s="9" t="s">
        <v>53</v>
      </c>
      <c r="B2" s="9" t="s">
        <v>54</v>
      </c>
      <c r="C2" s="9" t="s">
        <v>55</v>
      </c>
      <c r="D2" s="10" t="s">
        <v>56</v>
      </c>
      <c r="E2" s="9" t="s">
        <v>57</v>
      </c>
      <c r="F2" s="9"/>
      <c r="G2" s="10" t="s">
        <v>56</v>
      </c>
      <c r="H2" s="9" t="s">
        <v>57</v>
      </c>
      <c r="J2" s="9" t="s">
        <v>64</v>
      </c>
      <c r="K2" s="82" t="str">
        <f>IF(OR(Calculadora!F16="",Calculadora!F17=""), "TIENES QUE AÑADIR EL NOMBRE DEL CLIENTE Y FECHA DE OFERTA EN LA PESTAÑA CALCULADORA", Calculadora!F16 &amp; " - " &amp; TEXT(Calculadora!F17, "dd/mm/yyyy"))</f>
        <v>Real Madrid TV - 13/02/2020</v>
      </c>
    </row>
    <row r="3" spans="1:11" x14ac:dyDescent="0.25">
      <c r="D3" s="12"/>
      <c r="J3" s="11" t="s">
        <v>562</v>
      </c>
      <c r="K3" s="11" t="b">
        <f ca="1">IF(SUM(COUNTIF(INDIRECT({"Validación!D3","Validación!D4","Validación!D5","Validación!D6","Validación!D7","Validación!D9","Validación!D10","Validación!D11","Validación!D12","Validación!D14","Validación!D15","Validación!D17","Validación!D18","Validación!D19","Validación!D21","Validación!D22","Validación!D23","Validación!D24","Validación!D25","Validación!D27"}),"Criterio válidado"))=20, TRUE, FALSE)</f>
        <v>1</v>
      </c>
    </row>
    <row r="4" spans="1:11" x14ac:dyDescent="0.25">
      <c r="A4" s="65" t="s">
        <v>58</v>
      </c>
      <c r="B4" s="13" t="s">
        <v>46</v>
      </c>
      <c r="C4" s="15" t="s">
        <v>59</v>
      </c>
      <c r="D4" s="14">
        <f ca="1">IF(SUM(COUNTIF(INDIRECT({"Validación!D9","Validación!D10","Validación!D21","Validación!D22","Validación!D23"}),"Criterio válidado"))=5,costCalculatorWorkingDays(E4),0)</f>
        <v>588</v>
      </c>
      <c r="E4" s="15">
        <f ca="1">IF(SUM(COUNTIF(INDIRECT({"Validación!D9","Validación!D10","Validación!D21","Validación!D22","Validación!D23"}),"Criterio válidado"))=5, generateEstimateRange(Calculadora!F4,1,Validación!C11,Validación!C12,Validación!C21,Validación!C22,Validación!C23,Validación!C24),0)</f>
        <v>1</v>
      </c>
      <c r="F4" s="70"/>
      <c r="G4" s="73">
        <f>costCalculatorWorkingDays(H4)</f>
        <v>1176</v>
      </c>
      <c r="H4" s="77">
        <v>2</v>
      </c>
      <c r="J4" s="3" t="str">
        <f>Calculadora!A3</f>
        <v>Criterios</v>
      </c>
      <c r="K4" s="4" t="str">
        <f>Calculadora!B3</f>
        <v>Valores</v>
      </c>
    </row>
    <row r="5" spans="1:11" x14ac:dyDescent="0.25">
      <c r="D5" s="16"/>
      <c r="E5" s="17"/>
      <c r="F5" s="70"/>
      <c r="G5" s="17"/>
      <c r="H5" s="17"/>
      <c r="J5" s="5" t="str">
        <f>Calculadora!A4</f>
        <v>Nube Publica</v>
      </c>
      <c r="K5" s="6" t="str">
        <f ca="1">Calculadora!B4</f>
        <v>AWS</v>
      </c>
    </row>
    <row r="6" spans="1:11" x14ac:dyDescent="0.25">
      <c r="A6" s="99" t="s">
        <v>60</v>
      </c>
      <c r="B6" s="18" t="s">
        <v>47</v>
      </c>
      <c r="C6" s="20" t="s">
        <v>59</v>
      </c>
      <c r="D6" s="19">
        <f ca="1">IF(SUM(COUNTIF(INDIRECT({"Validación!D9","Validación!D10","Validación!D21","Validación!D22","Validación!D23"}),"Criterio válidado"))=5,costCalculatorWorkingDays(E6),0)</f>
        <v>1470</v>
      </c>
      <c r="E6" s="20">
        <f ca="1">IF(SUM(COUNTIF(INDIRECT({"Validación!D9","Validación!D10","Validación!D21","Validación!D22","Validación!D23"}),"Criterio válidado"))=5, generateEstimateRange(Calculadora!F5,2,Validación!C11,Validación!C12,Validación!C21,Validación!C22,Validación!C23,Validación!C24),0)</f>
        <v>2.5</v>
      </c>
      <c r="F6" s="70"/>
      <c r="G6" s="75">
        <f>costCalculatorWorkingDays(H6)</f>
        <v>1176</v>
      </c>
      <c r="H6" s="78">
        <v>2</v>
      </c>
      <c r="J6" s="5" t="str">
        <f>Calculadora!A5</f>
        <v>Greenfield</v>
      </c>
      <c r="K6" s="6" t="str">
        <f ca="1">Calculadora!B5</f>
        <v>Sí</v>
      </c>
    </row>
    <row r="7" spans="1:11" x14ac:dyDescent="0.25">
      <c r="A7" s="99"/>
      <c r="B7" s="18" t="s">
        <v>48</v>
      </c>
      <c r="C7" s="20" t="s">
        <v>59</v>
      </c>
      <c r="D7" s="19">
        <f ca="1">IF(SUM(COUNTIF(INDIRECT({"Validación!D9","Validación!D10","Validación!D21","Validación!D22","Validación!D23"}),"Criterio válidado"))=5,costCalculatorWorkingDays(E7),0)</f>
        <v>2058</v>
      </c>
      <c r="E7" s="20">
        <f ca="1">IF(SUM(COUNTIF(INDIRECT({"Validación!D9","Validación!D10","Validación!D21","Validación!D22","Validación!D23"}),"Criterio válidado"))=5, generateEstimateRange(Calculadora!F6,3,Validación!C11,Validación!C12,Validación!C21,Validación!C22,Validación!C23,Validación!C24),0)</f>
        <v>3.5</v>
      </c>
      <c r="F7" s="70"/>
      <c r="G7" s="75">
        <f>costCalculatorWorkingDays(H7)</f>
        <v>588</v>
      </c>
      <c r="H7" s="78">
        <v>1</v>
      </c>
      <c r="J7" s="5" t="str">
        <f>Calculadora!A6</f>
        <v># Regions</v>
      </c>
      <c r="K7" s="6">
        <f ca="1">Calculadora!B6</f>
        <v>1</v>
      </c>
    </row>
    <row r="8" spans="1:11" x14ac:dyDescent="0.25">
      <c r="D8" s="16"/>
      <c r="E8" s="17"/>
      <c r="F8" s="70"/>
      <c r="G8" s="17"/>
      <c r="H8" s="17"/>
      <c r="J8" s="5" t="str">
        <f>Calculadora!A7</f>
        <v># Accounts</v>
      </c>
      <c r="K8" s="6">
        <f ca="1">Calculadora!B7</f>
        <v>1</v>
      </c>
    </row>
    <row r="9" spans="1:11" x14ac:dyDescent="0.25">
      <c r="A9" s="13" t="s">
        <v>112</v>
      </c>
      <c r="B9" s="13" t="str">
        <f ca="1">Calculadora!B24</f>
        <v>No aplica</v>
      </c>
      <c r="C9" s="15" t="s">
        <v>59</v>
      </c>
      <c r="D9" s="14">
        <f ca="1">IF(SUM(COUNTIF(INDIRECT({"Validación!D9","Validación!D10","Validación!D21","Validación!D22","Validación!D23"}),"Criterio válidado"))=5,costCalculatorWorkingDays(E9),0)</f>
        <v>0</v>
      </c>
      <c r="E9" s="1"/>
      <c r="F9" s="70"/>
      <c r="G9" s="76">
        <f>costCalculatorWorkingDays(H9)</f>
        <v>0</v>
      </c>
      <c r="H9" s="77"/>
      <c r="J9" s="5" t="str">
        <f>Calculadora!A8</f>
        <v># Aplicaciones</v>
      </c>
      <c r="K9" s="6">
        <f ca="1">Calculadora!B8</f>
        <v>0</v>
      </c>
    </row>
    <row r="10" spans="1:11" x14ac:dyDescent="0.25">
      <c r="A10" s="13" t="s">
        <v>113</v>
      </c>
      <c r="B10" s="13" t="str">
        <f ca="1">Calculadora!B25</f>
        <v>No aplica</v>
      </c>
      <c r="C10" s="15" t="s">
        <v>59</v>
      </c>
      <c r="D10" s="14">
        <f ca="1">IF(SUM(COUNTIF(INDIRECT({"Validación!D9","Validación!D10","Validación!D21","Validación!D22","Validación!D23"}),"Criterio válidado"))=5,costCalculatorWorkingDays(E10),0)</f>
        <v>0</v>
      </c>
      <c r="E10" s="1"/>
      <c r="F10" s="70"/>
      <c r="G10" s="76">
        <f>costCalculatorWorkingDays(H10)</f>
        <v>0</v>
      </c>
      <c r="H10" s="77"/>
      <c r="J10" s="5" t="str">
        <f>Calculadora!A9</f>
        <v># VPC</v>
      </c>
      <c r="K10" s="6">
        <f ca="1">Calculadora!B9</f>
        <v>1</v>
      </c>
    </row>
    <row r="11" spans="1:11" x14ac:dyDescent="0.25">
      <c r="A11" s="13" t="s">
        <v>114</v>
      </c>
      <c r="B11" s="13" t="str">
        <f ca="1">Calculadora!B26</f>
        <v>No aplica</v>
      </c>
      <c r="C11" s="15" t="s">
        <v>59</v>
      </c>
      <c r="D11" s="14">
        <f ca="1">IF(SUM(COUNTIF(INDIRECT({"Validación!D9","Validación!D10","Validación!D21","Validación!D22","Validación!D23"}),"Criterio válidado"))=5,costCalculatorWorkingDays(E11),0)</f>
        <v>0</v>
      </c>
      <c r="E11" s="1"/>
      <c r="F11" s="70"/>
      <c r="G11" s="76">
        <f>costCalculatorWorkingDays(H11)</f>
        <v>0</v>
      </c>
      <c r="H11" s="77"/>
      <c r="J11" s="5" t="str">
        <f>Calculadora!A10</f>
        <v># Subredes</v>
      </c>
      <c r="K11" s="6">
        <f ca="1">Calculadora!B10</f>
        <v>1</v>
      </c>
    </row>
    <row r="12" spans="1:11" x14ac:dyDescent="0.25">
      <c r="A12" s="13" t="s">
        <v>115</v>
      </c>
      <c r="B12" s="13" t="str">
        <f ca="1">Calculadora!B27</f>
        <v>No aplica</v>
      </c>
      <c r="C12" s="15" t="s">
        <v>59</v>
      </c>
      <c r="D12" s="14">
        <f ca="1">IF(SUM(COUNTIF(INDIRECT({"Validación!D9","Validación!D10","Validación!D21","Validación!D22","Validación!D23"}),"Criterio válidado"))=5,costCalculatorWorkingDays(E12),0)</f>
        <v>0</v>
      </c>
      <c r="E12" s="1"/>
      <c r="F12" s="70"/>
      <c r="G12" s="76">
        <f>costCalculatorWorkingDays(H12)</f>
        <v>0</v>
      </c>
      <c r="H12" s="77"/>
      <c r="J12" s="5" t="str">
        <f>Calculadora!A11</f>
        <v>Conectividad On-Premises</v>
      </c>
      <c r="K12" s="6" t="str">
        <f ca="1">Calculadora!B11</f>
        <v>Sí</v>
      </c>
    </row>
    <row r="13" spans="1:11" x14ac:dyDescent="0.25">
      <c r="A13" s="13" t="s">
        <v>116</v>
      </c>
      <c r="B13" s="13" t="str">
        <f ca="1">Calculadora!B28</f>
        <v>No aplica</v>
      </c>
      <c r="C13" s="15" t="s">
        <v>59</v>
      </c>
      <c r="D13" s="14">
        <f ca="1">IF(SUM(COUNTIF(INDIRECT({"Validación!D9","Validación!D10","Validación!D21","Validación!D22","Validación!D23"}),"Criterio válidado"))=5,costCalculatorWorkingDays(E13),0)</f>
        <v>0</v>
      </c>
      <c r="E13" s="1"/>
      <c r="F13" s="70"/>
      <c r="G13" s="76">
        <f>costCalculatorWorkingDays(H13)</f>
        <v>0</v>
      </c>
      <c r="H13" s="77"/>
      <c r="J13" s="5" t="str">
        <f>Calculadora!A12</f>
        <v># VPC Peerings</v>
      </c>
      <c r="K13" s="6" t="str">
        <f ca="1">Calculadora!B12</f>
        <v>No</v>
      </c>
    </row>
    <row r="14" spans="1:11" x14ac:dyDescent="0.25">
      <c r="F14" s="70"/>
      <c r="J14" s="5" t="str">
        <f>Calculadora!A13</f>
        <v>Directory Services</v>
      </c>
      <c r="K14" s="6" t="str">
        <f ca="1">Calculadora!B13</f>
        <v>No</v>
      </c>
    </row>
    <row r="15" spans="1:11" x14ac:dyDescent="0.25">
      <c r="A15" s="23" t="s">
        <v>49</v>
      </c>
      <c r="B15" s="18" t="str">
        <f ca="1">IF(SUM(COUNTIF(INDIRECT({"Validación!D9","Validación!D10","Validación!D21","Validación!D22","Validación!D23"}),"Criterio válidado"))=5,IF(AND(E7&gt;0,E7&lt;10),"Soporte (1 semana)","Soporte "),"Soporte")</f>
        <v>Soporte (1 semana)</v>
      </c>
      <c r="C15" s="20" t="s">
        <v>59</v>
      </c>
      <c r="D15" s="19">
        <f ca="1">IF(SUM(COUNTIF(INDIRECT({"Validación!D9","Validación!D10","Validación!D21","Validación!D22","Validación!D23"}),"Criterio válidado"))=5,costCalculatorWorkingDays(E15),0)</f>
        <v>588</v>
      </c>
      <c r="E15" s="20">
        <f ca="1">IF(AND(SUM(COUNTIF(INDIRECT({"Validación!D9","Validación!D10","Validación!D21","Validación!D22","Validación!D23"}),"Criterio válidado"))=5,Calculadora!F6="Requerido",Calculadora!F7="Aplica"),CEILING(SUM(E7,E9,E10,E11,E12,E13)*0.25,0.25),0)</f>
        <v>1</v>
      </c>
      <c r="F15" s="70"/>
      <c r="G15" s="75">
        <f>costCalculatorWorkingDays(H15)</f>
        <v>588</v>
      </c>
      <c r="H15" s="78">
        <v>1</v>
      </c>
      <c r="J15" s="5" t="str">
        <f>Calculadora!A14</f>
        <v>Reglas de Firewall Avanzado</v>
      </c>
      <c r="K15" s="6" t="str">
        <f ca="1">Calculadora!B14</f>
        <v>No</v>
      </c>
    </row>
    <row r="16" spans="1:11" x14ac:dyDescent="0.25">
      <c r="C16" s="39"/>
      <c r="D16" s="39"/>
      <c r="E16" s="39"/>
      <c r="F16" s="70"/>
      <c r="G16" s="39"/>
      <c r="H16" s="39"/>
      <c r="J16" s="5" t="str">
        <f>Calculadora!A15</f>
        <v>Logging</v>
      </c>
      <c r="K16" s="6" t="str">
        <f ca="1">Calculadora!B15</f>
        <v>Por defecto</v>
      </c>
    </row>
    <row r="17" spans="1:11" x14ac:dyDescent="0.25">
      <c r="A17" s="65" t="s">
        <v>270</v>
      </c>
      <c r="B17" s="21" t="str">
        <f ca="1">IF(SUM(COUNTIF(INDIRECT({"Validación!D9","Validación!D10","Validación!D21","Validación!D22","Validación!D23"}),"Criterio válidado"))=5,"Administrado por Telefónica ("&amp; Calculadora!F10 &amp; ")","Administrado por Telefónica (No)")</f>
        <v>Administrado por Telefónica (No)</v>
      </c>
      <c r="C17" s="15" t="s">
        <v>59</v>
      </c>
      <c r="D17" s="22">
        <f ca="1">IF(SUM(COUNTIF(INDIRECT({"Validación!D9","Validación!D10","Validación!D21","Validación!D22","Validación!D23"}),"Criterio válidado"))=5,IF(Calculadora!F10="Sí", costCalculatorWorkingDays(E17), 0),0)</f>
        <v>0</v>
      </c>
      <c r="E17" s="24">
        <f ca="1">IF(SUM(COUNTIF(INDIRECT({"Validación!D9","Validación!D10","Validación!D21","Validación!D22","Validación!D23"}),"Criterio válidado"))=5,IF(AND(Calculadora!F10="Sí",Validación!C3="AWS"),2.5,IF(AND(Calculadora!F10="Sí",Validación!C3="Azure"),2.5,0)),0)</f>
        <v>0</v>
      </c>
      <c r="F17" s="70"/>
      <c r="G17" s="73">
        <f>costCalculatorWorkingDays(H17)</f>
        <v>0</v>
      </c>
      <c r="H17" s="77"/>
      <c r="J17" s="5" t="str">
        <f>Calculadora!A16</f>
        <v>Monitoring</v>
      </c>
      <c r="K17" s="6" t="str">
        <f ca="1">Calculadora!B16</f>
        <v>Por defecto</v>
      </c>
    </row>
    <row r="18" spans="1:11" x14ac:dyDescent="0.25">
      <c r="F18" s="70"/>
      <c r="J18" s="5" t="str">
        <f>Calculadora!A17</f>
        <v>Backup</v>
      </c>
      <c r="K18" s="6" t="str">
        <f ca="1">Calculadora!B17</f>
        <v>Snapshots (1 diario)</v>
      </c>
    </row>
    <row r="19" spans="1:11" x14ac:dyDescent="0.25">
      <c r="A19" s="65" t="s">
        <v>52</v>
      </c>
      <c r="B19" s="21" t="str">
        <f ca="1">IF(SUM(COUNTIF(INDIRECT({"Validación!D9","Validación!D10","Validación!D21","Validación!D22","Validación!D23"}),"Criterio válidado"))=5,"Viajes ("&amp; Calculadora!F13 &amp; ")","Viajes (0)")</f>
        <v>Viajes (0)</v>
      </c>
      <c r="C19" s="29" t="s">
        <v>61</v>
      </c>
      <c r="D19" s="22">
        <f ca="1">IF(SUM(COUNTIF(INDIRECT({"Validación!D9","Validación!D10","Validación!D21","Validación!D22","Validación!D23"}),"Criterio válidado"))=5,costCalculatorVisits(Calculadora!F13),0)</f>
        <v>0</v>
      </c>
      <c r="E19" s="24"/>
      <c r="F19" s="70"/>
      <c r="G19" s="70"/>
      <c r="H19" s="70"/>
      <c r="J19" s="5" t="str">
        <f>Calculadora!A18</f>
        <v>Instancias de MV</v>
      </c>
      <c r="K19" s="6">
        <f ca="1">Calculadora!B18</f>
        <v>3</v>
      </c>
    </row>
    <row r="20" spans="1:11" x14ac:dyDescent="0.25">
      <c r="F20" s="70"/>
      <c r="J20" s="5" t="str">
        <f>Calculadora!A19</f>
        <v># Unidades de Object Storage</v>
      </c>
      <c r="K20" s="6">
        <f ca="1">Calculadora!B19</f>
        <v>1</v>
      </c>
    </row>
    <row r="21" spans="1:11" ht="15" customHeight="1" x14ac:dyDescent="0.25">
      <c r="D21" s="25">
        <f ca="1">IF(SUM(COUNTIF(INDIRECT({"Validación!D9","Validación!D10","Validación!D21","Validación!D22","Validación!D23"}),"Criterio válidado"))=5,SUM(D4,D6,D7,D9,D10,D11,D12,D13,D15,D17, D19),0)</f>
        <v>4704</v>
      </c>
      <c r="E21" s="26">
        <f ca="1">IF(SUM(COUNTIF(INDIRECT({"Validación!D9","Validación!D10","Validación!D21","Validación!D22","Validación!D23"}),"Criterio válidado"))=5,SUM(E4,E6,E7,E9,E10,E11,E12,E13,E15,E17),0)</f>
        <v>8</v>
      </c>
      <c r="F21" s="70"/>
      <c r="G21" s="73">
        <f ca="1">SUM(G4,G6,G7,G9,G10,G12,G11,G13,G15,G17,D19)</f>
        <v>3528</v>
      </c>
      <c r="H21" s="74">
        <f>SUM(H4,H6,H7,H9,H10,H11,H12,H13,H15,H17)</f>
        <v>6</v>
      </c>
      <c r="J21" s="5" t="str">
        <f>Calculadora!A20</f>
        <v># Base de Datos SQL (PaaS)</v>
      </c>
      <c r="K21" s="6">
        <f ca="1">Calculadora!B20</f>
        <v>0</v>
      </c>
    </row>
    <row r="22" spans="1:11" ht="15" customHeight="1" x14ac:dyDescent="0.25">
      <c r="J22" s="5" t="str">
        <f>Calculadora!A21</f>
        <v>Load Balancer</v>
      </c>
      <c r="K22" s="6" t="str">
        <f ca="1">Calculadora!B21</f>
        <v>No</v>
      </c>
    </row>
    <row r="23" spans="1:11" x14ac:dyDescent="0.25">
      <c r="J23" s="5" t="str">
        <f>Calculadora!A22</f>
        <v>Scripts de automatización</v>
      </c>
      <c r="K23" s="6" t="str">
        <f ca="1">Calculadora!B22</f>
        <v>No</v>
      </c>
    </row>
    <row r="24" spans="1:11" x14ac:dyDescent="0.25">
      <c r="A24" s="100" t="s">
        <v>103</v>
      </c>
      <c r="B24" s="100"/>
      <c r="C24" s="100"/>
      <c r="D24" s="100"/>
      <c r="E24" s="100"/>
      <c r="F24" s="71"/>
      <c r="G24" s="71"/>
      <c r="H24" s="71"/>
      <c r="J24" s="5" t="str">
        <f>Calculadora!A23</f>
        <v>Otros servicios</v>
      </c>
      <c r="K24" s="6" t="str">
        <f ca="1">Calculadora!B23</f>
        <v>No</v>
      </c>
    </row>
    <row r="25" spans="1:11" x14ac:dyDescent="0.25">
      <c r="A25" s="98" t="str">
        <f>IF(AND(Validación!C27="Sí", Validación!D28&lt;&gt;"",Validación!D28&lt;&gt;"Escribas una descripción aqui para brindar más contexto sobre el servicio adicional"),"* Servico 1: " &amp; getComboBoxValue("Service1ComboBox") &amp; " -  " &amp; Validación!D28,"")</f>
        <v/>
      </c>
      <c r="B25" s="98"/>
      <c r="C25" s="98"/>
      <c r="D25" s="98"/>
      <c r="E25" s="98"/>
      <c r="F25" s="70"/>
      <c r="G25" s="70"/>
      <c r="H25" s="70"/>
      <c r="J25" s="5" t="str">
        <f>Calculadora!A24</f>
        <v>Servicio 1</v>
      </c>
      <c r="K25" s="6" t="str">
        <f ca="1">Calculadora!B24</f>
        <v>No aplica</v>
      </c>
    </row>
    <row r="26" spans="1:11" x14ac:dyDescent="0.25">
      <c r="A26" s="98" t="str">
        <f>IF(AND(Validación!C27="Sí", Validación!D29&lt;&gt;"",Validación!D29&lt;&gt;"Escribas una descripción aqui para brindar más contexto sobre el servicio adicional"),"* Servico 2: " &amp; getComboBoxValue("Service2ComboBox") &amp; " -  " &amp; Validación!D29,"")</f>
        <v/>
      </c>
      <c r="B26" s="98"/>
      <c r="C26" s="98"/>
      <c r="D26" s="98"/>
      <c r="E26" s="98"/>
      <c r="F26" s="70"/>
      <c r="G26" s="70"/>
      <c r="H26" s="70"/>
      <c r="J26" s="5"/>
      <c r="K26" s="6" t="str">
        <f ca="1">Calculadora!B25</f>
        <v>No aplica</v>
      </c>
    </row>
    <row r="27" spans="1:11" x14ac:dyDescent="0.25">
      <c r="A27" s="98" t="str">
        <f>IF(AND(Validación!C27="Sí", Validación!D30&lt;&gt;"",Validación!D30&lt;&gt;"Escribas una descripción aqui para brindar más contexto sobre el servicio adicional"),"* Servico 3: " &amp; getComboBoxValue("Service3ComboBox") &amp; " -  " &amp; Validación!D30,"")</f>
        <v/>
      </c>
      <c r="B27" s="98"/>
      <c r="C27" s="98"/>
      <c r="D27" s="98"/>
      <c r="E27" s="98"/>
      <c r="F27" s="70"/>
      <c r="G27" s="70"/>
      <c r="H27" s="70"/>
      <c r="J27" s="5" t="str">
        <f>Calculadora!A26</f>
        <v>Servicio 3</v>
      </c>
      <c r="K27" s="6" t="str">
        <f ca="1">Calculadora!B26</f>
        <v>No aplica</v>
      </c>
    </row>
    <row r="28" spans="1:11" x14ac:dyDescent="0.25">
      <c r="A28" s="98" t="str">
        <f>IF(AND(Validación!C27="Sí", Validación!D31&lt;&gt;"",Validación!D31&lt;&gt;"Escribas una descripción aqui para brindar más contexto sobre el servicio adicional"),"* Servico 4: " &amp; getComboBoxValue("Service4ComboBox") &amp; " -  " &amp; Validación!D31,"")</f>
        <v/>
      </c>
      <c r="B28" s="98"/>
      <c r="C28" s="98"/>
      <c r="D28" s="98"/>
      <c r="E28" s="98"/>
      <c r="F28" s="70"/>
      <c r="G28" s="70"/>
      <c r="H28" s="70"/>
      <c r="J28" s="5" t="str">
        <f>Calculadora!A27</f>
        <v>Servicio 4</v>
      </c>
      <c r="K28" s="6" t="str">
        <f ca="1">Calculadora!B27</f>
        <v>No aplica</v>
      </c>
    </row>
    <row r="29" spans="1:11" x14ac:dyDescent="0.25">
      <c r="A29" s="98" t="str">
        <f>IF(AND(Validación!C27="Sí", Validación!D32&lt;&gt;"",Validación!D32&lt;&gt;"Escribas una descripción aqui para brindar más contexto sobre el servicio adicional"),"* Servico 5: " &amp; getComboBoxValue("Service5ComboBox") &amp; " -  " &amp; Validación!D32,"")</f>
        <v/>
      </c>
      <c r="B29" s="98"/>
      <c r="C29" s="98"/>
      <c r="D29" s="98"/>
      <c r="E29" s="98"/>
      <c r="F29" s="70"/>
      <c r="G29" s="70"/>
      <c r="H29" s="70"/>
      <c r="J29" s="5" t="str">
        <f>Calculadora!A28</f>
        <v>Servicio 5</v>
      </c>
      <c r="K29" s="6" t="str">
        <f ca="1">Calculadora!B28</f>
        <v>No aplica</v>
      </c>
    </row>
  </sheetData>
  <sheetProtection sheet="1" objects="1" scenarios="1" formatColumns="0" formatRows="0"/>
  <mergeCells count="9">
    <mergeCell ref="G1:H1"/>
    <mergeCell ref="A26:E26"/>
    <mergeCell ref="A27:E27"/>
    <mergeCell ref="A28:E28"/>
    <mergeCell ref="A29:E29"/>
    <mergeCell ref="A6:A7"/>
    <mergeCell ref="A24:E24"/>
    <mergeCell ref="A25:E25"/>
    <mergeCell ref="D1:E1"/>
  </mergeCells>
  <conditionalFormatting sqref="K15">
    <cfRule type="containsText" dxfId="99" priority="133" operator="containsText" text="No aplica">
      <formula>NOT(ISERROR(SEARCH("No aplica",K15)))</formula>
    </cfRule>
  </conditionalFormatting>
  <conditionalFormatting sqref="K7">
    <cfRule type="containsText" dxfId="98" priority="114" operator="containsText" text="No aplica">
      <formula>NOT(ISERROR(SEARCH("No aplica",K7)))</formula>
    </cfRule>
  </conditionalFormatting>
  <conditionalFormatting sqref="K6">
    <cfRule type="containsText" dxfId="97" priority="113" operator="containsText" text="No aplica">
      <formula>NOT(ISERROR(SEARCH("No aplica",K6)))</formula>
    </cfRule>
  </conditionalFormatting>
  <conditionalFormatting sqref="K5">
    <cfRule type="containsText" dxfId="96" priority="112" operator="containsText" text="No aplica">
      <formula>NOT(ISERROR(SEARCH("No aplica",K5)))</formula>
    </cfRule>
  </conditionalFormatting>
  <conditionalFormatting sqref="K8">
    <cfRule type="containsText" dxfId="95" priority="111" operator="containsText" text="No aplica">
      <formula>NOT(ISERROR(SEARCH("No aplica",K8)))</formula>
    </cfRule>
  </conditionalFormatting>
  <conditionalFormatting sqref="K9">
    <cfRule type="containsText" dxfId="94" priority="110" operator="containsText" text="No aplica">
      <formula>NOT(ISERROR(SEARCH("No aplica",K9)))</formula>
    </cfRule>
  </conditionalFormatting>
  <conditionalFormatting sqref="K10">
    <cfRule type="containsText" dxfId="93" priority="109" operator="containsText" text="No aplica">
      <formula>NOT(ISERROR(SEARCH("No aplica",K10)))</formula>
    </cfRule>
  </conditionalFormatting>
  <conditionalFormatting sqref="K11">
    <cfRule type="containsText" dxfId="92" priority="108" operator="containsText" text="No aplica">
      <formula>NOT(ISERROR(SEARCH("No aplica",K11)))</formula>
    </cfRule>
  </conditionalFormatting>
  <conditionalFormatting sqref="K12">
    <cfRule type="containsText" dxfId="91" priority="107" operator="containsText" text="No aplica">
      <formula>NOT(ISERROR(SEARCH("No aplica",K12)))</formula>
    </cfRule>
  </conditionalFormatting>
  <conditionalFormatting sqref="K13">
    <cfRule type="containsText" dxfId="90" priority="106" operator="containsText" text="No aplica">
      <formula>NOT(ISERROR(SEARCH("No aplica",K13)))</formula>
    </cfRule>
  </conditionalFormatting>
  <conditionalFormatting sqref="K14">
    <cfRule type="containsText" dxfId="89" priority="105" operator="containsText" text="No aplica">
      <formula>NOT(ISERROR(SEARCH("No aplica",K14)))</formula>
    </cfRule>
  </conditionalFormatting>
  <conditionalFormatting sqref="K16">
    <cfRule type="containsText" dxfId="88" priority="104" operator="containsText" text="No aplica">
      <formula>NOT(ISERROR(SEARCH("No aplica",K16)))</formula>
    </cfRule>
  </conditionalFormatting>
  <conditionalFormatting sqref="K17">
    <cfRule type="containsText" dxfId="87" priority="103" operator="containsText" text="No aplica">
      <formula>NOT(ISERROR(SEARCH("No aplica",K17)))</formula>
    </cfRule>
  </conditionalFormatting>
  <conditionalFormatting sqref="K18">
    <cfRule type="containsText" dxfId="86" priority="102" operator="containsText" text="No aplica">
      <formula>NOT(ISERROR(SEARCH("No aplica",K18)))</formula>
    </cfRule>
  </conditionalFormatting>
  <conditionalFormatting sqref="K19">
    <cfRule type="containsText" dxfId="85" priority="101" operator="containsText" text="No aplica">
      <formula>NOT(ISERROR(SEARCH("No aplica",K19)))</formula>
    </cfRule>
  </conditionalFormatting>
  <conditionalFormatting sqref="K20">
    <cfRule type="containsText" dxfId="84" priority="100" operator="containsText" text="No aplica">
      <formula>NOT(ISERROR(SEARCH("No aplica",K20)))</formula>
    </cfRule>
  </conditionalFormatting>
  <conditionalFormatting sqref="K21">
    <cfRule type="containsText" dxfId="83" priority="99" operator="containsText" text="No aplica">
      <formula>NOT(ISERROR(SEARCH("No aplica",K21)))</formula>
    </cfRule>
  </conditionalFormatting>
  <conditionalFormatting sqref="K23">
    <cfRule type="containsText" dxfId="82" priority="97" operator="containsText" text="No aplica">
      <formula>NOT(ISERROR(SEARCH("No aplica",K23)))</formula>
    </cfRule>
  </conditionalFormatting>
  <conditionalFormatting sqref="C16:E16 G16:H16">
    <cfRule type="containsText" dxfId="81" priority="95" operator="containsText" text="La estimacíon está fuera">
      <formula>NOT(ISERROR(SEARCH("La estimacíon está fuera",C16)))</formula>
    </cfRule>
  </conditionalFormatting>
  <conditionalFormatting sqref="K24">
    <cfRule type="containsText" dxfId="80" priority="78" operator="containsText" text="No aplica">
      <formula>NOT(ISERROR(SEARCH("No aplica",K24)))</formula>
    </cfRule>
    <cfRule type="containsText" dxfId="79" priority="91" operator="containsText" text="Cálculo manual">
      <formula>NOT(ISERROR(SEARCH("Cálculo manual",K24)))</formula>
    </cfRule>
  </conditionalFormatting>
  <conditionalFormatting sqref="J25">
    <cfRule type="expression" dxfId="78" priority="74">
      <formula>K24="No"</formula>
    </cfRule>
    <cfRule type="expression" dxfId="77" priority="89">
      <formula>K25="No aplica"</formula>
    </cfRule>
    <cfRule type="expression" dxfId="76" priority="93">
      <formula>K24="Cálculo manual"</formula>
    </cfRule>
  </conditionalFormatting>
  <conditionalFormatting sqref="K22">
    <cfRule type="containsText" dxfId="75" priority="76" operator="containsText" text="No aplica">
      <formula>NOT(ISERROR(SEARCH("No aplica",K22)))</formula>
    </cfRule>
  </conditionalFormatting>
  <conditionalFormatting sqref="J5">
    <cfRule type="expression" dxfId="74" priority="135">
      <formula>K5="No aplica"</formula>
    </cfRule>
  </conditionalFormatting>
  <conditionalFormatting sqref="J23">
    <cfRule type="expression" dxfId="73" priority="141">
      <formula>K23="No aplica"</formula>
    </cfRule>
  </conditionalFormatting>
  <conditionalFormatting sqref="J22">
    <cfRule type="expression" dxfId="72" priority="77">
      <formula>K22="No aplica"</formula>
    </cfRule>
  </conditionalFormatting>
  <conditionalFormatting sqref="J6">
    <cfRule type="expression" dxfId="71" priority="75">
      <formula>K6="No aplica"</formula>
    </cfRule>
  </conditionalFormatting>
  <conditionalFormatting sqref="J26">
    <cfRule type="expression" dxfId="70" priority="71">
      <formula>K24="No"</formula>
    </cfRule>
    <cfRule type="expression" dxfId="69" priority="72">
      <formula>K26="No aplica"</formula>
    </cfRule>
    <cfRule type="expression" dxfId="68" priority="73">
      <formula>K24="Cálculo manual"</formula>
    </cfRule>
  </conditionalFormatting>
  <conditionalFormatting sqref="J27">
    <cfRule type="expression" dxfId="67" priority="68">
      <formula>K24="No"</formula>
    </cfRule>
    <cfRule type="expression" dxfId="66" priority="69">
      <formula>K27="No aplica"</formula>
    </cfRule>
    <cfRule type="expression" dxfId="65" priority="70">
      <formula>K24="Cálculo manual"</formula>
    </cfRule>
  </conditionalFormatting>
  <conditionalFormatting sqref="J28">
    <cfRule type="expression" dxfId="64" priority="65">
      <formula>K24="No"</formula>
    </cfRule>
    <cfRule type="expression" dxfId="63" priority="66">
      <formula>K28="No aplica"</formula>
    </cfRule>
    <cfRule type="expression" dxfId="62" priority="67">
      <formula>K24="Cálculo manual"</formula>
    </cfRule>
  </conditionalFormatting>
  <conditionalFormatting sqref="J29">
    <cfRule type="expression" dxfId="61" priority="62">
      <formula>K24="No"</formula>
    </cfRule>
    <cfRule type="expression" dxfId="60" priority="63">
      <formula>K29="No aplica"</formula>
    </cfRule>
    <cfRule type="expression" dxfId="59" priority="64">
      <formula>K24="Cálculo manual"</formula>
    </cfRule>
  </conditionalFormatting>
  <conditionalFormatting sqref="K25">
    <cfRule type="containsText" dxfId="58" priority="92" operator="containsText" text="No aplica">
      <formula>NOT(ISERROR(SEARCH("No aplica",K25)))</formula>
    </cfRule>
    <cfRule type="containsText" dxfId="57" priority="96" operator="containsText" text="Cálculo manual">
      <formula>NOT(ISERROR(SEARCH("Cálculo manual",K25)))</formula>
    </cfRule>
  </conditionalFormatting>
  <conditionalFormatting sqref="K26">
    <cfRule type="containsText" dxfId="56" priority="60" operator="containsText" text="No aplica">
      <formula>NOT(ISERROR(SEARCH("No aplica",K26)))</formula>
    </cfRule>
    <cfRule type="containsText" dxfId="55" priority="61" operator="containsText" text="Cálculo manual">
      <formula>NOT(ISERROR(SEARCH("Cálculo manual",K26)))</formula>
    </cfRule>
  </conditionalFormatting>
  <conditionalFormatting sqref="K27">
    <cfRule type="containsText" dxfId="54" priority="58" operator="containsText" text="No aplica">
      <formula>NOT(ISERROR(SEARCH("No aplica",K27)))</formula>
    </cfRule>
    <cfRule type="containsText" dxfId="53" priority="59" operator="containsText" text="Cálculo manual">
      <formula>NOT(ISERROR(SEARCH("Cálculo manual",K27)))</formula>
    </cfRule>
  </conditionalFormatting>
  <conditionalFormatting sqref="K28">
    <cfRule type="containsText" dxfId="52" priority="56" operator="containsText" text="No aplica">
      <formula>NOT(ISERROR(SEARCH("No aplica",K28)))</formula>
    </cfRule>
    <cfRule type="containsText" dxfId="51" priority="57" operator="containsText" text="Cálculo manual">
      <formula>NOT(ISERROR(SEARCH("Cálculo manual",K28)))</formula>
    </cfRule>
  </conditionalFormatting>
  <conditionalFormatting sqref="K29">
    <cfRule type="containsText" dxfId="50" priority="54" operator="containsText" text="No aplica">
      <formula>NOT(ISERROR(SEARCH("No aplica",K29)))</formula>
    </cfRule>
    <cfRule type="containsText" dxfId="49" priority="55" operator="containsText" text="Cálculo manual">
      <formula>NOT(ISERROR(SEARCH("Cálculo manual",K29)))</formula>
    </cfRule>
  </conditionalFormatting>
  <conditionalFormatting sqref="J7">
    <cfRule type="expression" dxfId="48" priority="53">
      <formula>K7="No aplica"</formula>
    </cfRule>
  </conditionalFormatting>
  <conditionalFormatting sqref="J8">
    <cfRule type="expression" dxfId="47" priority="52">
      <formula>K8="No aplica"</formula>
    </cfRule>
  </conditionalFormatting>
  <conditionalFormatting sqref="J9">
    <cfRule type="expression" dxfId="46" priority="51">
      <formula>K9="No aplica"</formula>
    </cfRule>
  </conditionalFormatting>
  <conditionalFormatting sqref="J10">
    <cfRule type="expression" dxfId="45" priority="50">
      <formula>K10="No aplica"</formula>
    </cfRule>
  </conditionalFormatting>
  <conditionalFormatting sqref="J11">
    <cfRule type="expression" dxfId="44" priority="49">
      <formula>K11="No aplica"</formula>
    </cfRule>
  </conditionalFormatting>
  <conditionalFormatting sqref="J12">
    <cfRule type="expression" dxfId="43" priority="48">
      <formula>K12="No aplica"</formula>
    </cfRule>
  </conditionalFormatting>
  <conditionalFormatting sqref="J13">
    <cfRule type="expression" dxfId="42" priority="47">
      <formula>K13="No aplica"</formula>
    </cfRule>
  </conditionalFormatting>
  <conditionalFormatting sqref="J14">
    <cfRule type="expression" dxfId="41" priority="46">
      <formula>K14="No aplica"</formula>
    </cfRule>
  </conditionalFormatting>
  <conditionalFormatting sqref="J15">
    <cfRule type="expression" dxfId="40" priority="45">
      <formula>K15="No aplica"</formula>
    </cfRule>
  </conditionalFormatting>
  <conditionalFormatting sqref="J16">
    <cfRule type="expression" dxfId="39" priority="44">
      <formula>K16="No aplica"</formula>
    </cfRule>
  </conditionalFormatting>
  <conditionalFormatting sqref="J17">
    <cfRule type="expression" dxfId="38" priority="43">
      <formula>K17="No aplica"</formula>
    </cfRule>
  </conditionalFormatting>
  <conditionalFormatting sqref="J18">
    <cfRule type="expression" dxfId="37" priority="42">
      <formula>K18="No aplica"</formula>
    </cfRule>
  </conditionalFormatting>
  <conditionalFormatting sqref="J19">
    <cfRule type="expression" dxfId="36" priority="41">
      <formula>K19="No aplica"</formula>
    </cfRule>
  </conditionalFormatting>
  <conditionalFormatting sqref="J20">
    <cfRule type="expression" dxfId="35" priority="40">
      <formula>K20="No aplica"</formula>
    </cfRule>
  </conditionalFormatting>
  <conditionalFormatting sqref="J21">
    <cfRule type="expression" dxfId="34" priority="39">
      <formula>K21="No aplica"</formula>
    </cfRule>
  </conditionalFormatting>
  <conditionalFormatting sqref="J24">
    <cfRule type="expression" dxfId="33" priority="12">
      <formula>K24="Cálculo manual"</formula>
    </cfRule>
    <cfRule type="expression" dxfId="32" priority="38">
      <formula>K24="No aplica"</formula>
    </cfRule>
  </conditionalFormatting>
  <conditionalFormatting sqref="A9">
    <cfRule type="expression" dxfId="31" priority="37">
      <formula>B9="No aplica"</formula>
    </cfRule>
  </conditionalFormatting>
  <conditionalFormatting sqref="C9">
    <cfRule type="expression" dxfId="30" priority="36">
      <formula>B9="No aplica"</formula>
    </cfRule>
  </conditionalFormatting>
  <conditionalFormatting sqref="D9">
    <cfRule type="expression" dxfId="29" priority="35">
      <formula>B9="No aplica"</formula>
    </cfRule>
  </conditionalFormatting>
  <conditionalFormatting sqref="E9:E13">
    <cfRule type="expression" dxfId="28" priority="34">
      <formula>B9="No aplica"</formula>
    </cfRule>
  </conditionalFormatting>
  <conditionalFormatting sqref="B9">
    <cfRule type="containsText" dxfId="27" priority="33" operator="containsText" text="No aplica">
      <formula>NOT(ISERROR(SEARCH("No aplica",B9)))</formula>
    </cfRule>
  </conditionalFormatting>
  <conditionalFormatting sqref="A10">
    <cfRule type="expression" dxfId="26" priority="32">
      <formula>B10="No aplica"</formula>
    </cfRule>
  </conditionalFormatting>
  <conditionalFormatting sqref="C10">
    <cfRule type="expression" dxfId="25" priority="31">
      <formula>B10="No aplica"</formula>
    </cfRule>
  </conditionalFormatting>
  <conditionalFormatting sqref="D10">
    <cfRule type="expression" dxfId="24" priority="30">
      <formula>B10="No aplica"</formula>
    </cfRule>
  </conditionalFormatting>
  <conditionalFormatting sqref="B10">
    <cfRule type="containsText" dxfId="23" priority="28" operator="containsText" text="No aplica">
      <formula>NOT(ISERROR(SEARCH("No aplica",B10)))</formula>
    </cfRule>
  </conditionalFormatting>
  <conditionalFormatting sqref="A11">
    <cfRule type="expression" dxfId="22" priority="27">
      <formula>B11="No aplica"</formula>
    </cfRule>
  </conditionalFormatting>
  <conditionalFormatting sqref="C11">
    <cfRule type="expression" dxfId="21" priority="26">
      <formula>B11="No aplica"</formula>
    </cfRule>
  </conditionalFormatting>
  <conditionalFormatting sqref="D11">
    <cfRule type="expression" dxfId="20" priority="25">
      <formula>B11="No aplica"</formula>
    </cfRule>
  </conditionalFormatting>
  <conditionalFormatting sqref="B11">
    <cfRule type="containsText" dxfId="19" priority="23" operator="containsText" text="No aplica">
      <formula>NOT(ISERROR(SEARCH("No aplica",B11)))</formula>
    </cfRule>
  </conditionalFormatting>
  <conditionalFormatting sqref="A12">
    <cfRule type="expression" dxfId="18" priority="22">
      <formula>B12="No aplica"</formula>
    </cfRule>
  </conditionalFormatting>
  <conditionalFormatting sqref="C12">
    <cfRule type="expression" dxfId="17" priority="21">
      <formula>B12="No aplica"</formula>
    </cfRule>
  </conditionalFormatting>
  <conditionalFormatting sqref="D12">
    <cfRule type="expression" dxfId="16" priority="20">
      <formula>B12="No aplica"</formula>
    </cfRule>
  </conditionalFormatting>
  <conditionalFormatting sqref="B12">
    <cfRule type="containsText" dxfId="15" priority="18" operator="containsText" text="No aplica">
      <formula>NOT(ISERROR(SEARCH("No aplica",B12)))</formula>
    </cfRule>
  </conditionalFormatting>
  <conditionalFormatting sqref="A13">
    <cfRule type="expression" dxfId="14" priority="17">
      <formula>B13="No aplica"</formula>
    </cfRule>
  </conditionalFormatting>
  <conditionalFormatting sqref="C13">
    <cfRule type="expression" dxfId="13" priority="16">
      <formula>B13="No aplica"</formula>
    </cfRule>
  </conditionalFormatting>
  <conditionalFormatting sqref="D13">
    <cfRule type="expression" dxfId="12" priority="15">
      <formula>B13="No aplica"</formula>
    </cfRule>
  </conditionalFormatting>
  <conditionalFormatting sqref="B13">
    <cfRule type="containsText" dxfId="11" priority="13" operator="containsText" text="No aplica">
      <formula>NOT(ISERROR(SEARCH("No aplica",B13)))</formula>
    </cfRule>
  </conditionalFormatting>
  <conditionalFormatting sqref="G9">
    <cfRule type="expression" dxfId="10" priority="11">
      <formula>B9="No aplica"</formula>
    </cfRule>
  </conditionalFormatting>
  <conditionalFormatting sqref="H9">
    <cfRule type="expression" dxfId="9" priority="10">
      <formula>B9="No aplica"</formula>
    </cfRule>
  </conditionalFormatting>
  <conditionalFormatting sqref="G13">
    <cfRule type="expression" dxfId="8" priority="9">
      <formula>B13="No aplica"</formula>
    </cfRule>
  </conditionalFormatting>
  <conditionalFormatting sqref="G12">
    <cfRule type="expression" dxfId="7" priority="8">
      <formula>B12="No aplica"</formula>
    </cfRule>
  </conditionalFormatting>
  <conditionalFormatting sqref="G11">
    <cfRule type="expression" dxfId="6" priority="7">
      <formula>B11="No aplica"</formula>
    </cfRule>
  </conditionalFormatting>
  <conditionalFormatting sqref="G10">
    <cfRule type="expression" dxfId="5" priority="6">
      <formula>B10="No aplica"</formula>
    </cfRule>
  </conditionalFormatting>
  <conditionalFormatting sqref="H10">
    <cfRule type="expression" dxfId="4" priority="5">
      <formula>B10="No aplica"</formula>
    </cfRule>
  </conditionalFormatting>
  <conditionalFormatting sqref="H11">
    <cfRule type="expression" dxfId="3" priority="4">
      <formula>B11="No aplica"</formula>
    </cfRule>
  </conditionalFormatting>
  <conditionalFormatting sqref="H12">
    <cfRule type="expression" dxfId="2" priority="3">
      <formula>B12="No aplica"</formula>
    </cfRule>
  </conditionalFormatting>
  <conditionalFormatting sqref="H13">
    <cfRule type="expression" dxfId="1" priority="2">
      <formula>B13="No aplica"</formula>
    </cfRule>
  </conditionalFormatting>
  <conditionalFormatting sqref="K2">
    <cfRule type="containsText" dxfId="0" priority="1" operator="containsText" text="TIENES QUE AÑADIR EL NOMBRE DEL CLIENTE Y FECHA DE OFERTA EN LA PESTAÑA CALCULADORA">
      <formula>NOT(ISERROR(SEARCH("TIENES QUE AÑADIR EL NOMBRE DEL CLIENTE Y FECHA DE OFERTA EN LA PESTAÑA CALCULADORA",K2)))</formula>
    </cfRule>
  </conditionalFormatting>
  <dataValidations count="12">
    <dataValidation allowBlank="1" showInputMessage="1" showErrorMessage="1" promptTitle="Soporte" prompt="En caso se realizar algún viaje dentro de la Península (fuera e Madrid) se contemplará un coste adicional de 333,98€/día" sqref="B17 B19"/>
    <dataValidation allowBlank="1" showInputMessage="1" showErrorMessage="1" promptTitle="Soporte" prompt="Estimacion en jornadas de la fase de Soporte. La fase de Soporte es compuesto de un apoyo a la nueva infraestructura y mejora continua del negocio con nuevas características" sqref="B15"/>
    <dataValidation allowBlank="1" showInputMessage="1" showErrorMessage="1" promptTitle="Implantación" prompt="Estimacion en jornadas de la fase de Implantacion. La fase de Implantacion es compuesto del despliegue de la arquitectura cloud más factible, basado en las recomendaciones de la fase de Recopilar requisitos" sqref="B7"/>
    <dataValidation allowBlank="1" showInputMessage="1" showErrorMessage="1" promptTitle="Diseño" prompt="Estimacion en jornadas de la fase de Diseño y aprobacion. La fase de Diseño y aprobacion es compuesto del diseño y aprobacion de la arquitectura cloud más factible, basado en las recomendaciones de la fase de Recopilar requisitos" sqref="B6"/>
    <dataValidation allowBlank="1" showInputMessage="1" showErrorMessage="1" promptTitle="Recopilar requisitos" prompt="Estimacion en jornadas de la fase de Análisis. La fase de Análisis es compuesto del analysis de las aplicaciones para conocer la viabilidad de llevarlas a cloud, y preparación de un plan de migración y un caso de negocio" sqref="B4"/>
    <dataValidation type="list" allowBlank="1" showInputMessage="1" showErrorMessage="1" sqref="H9:H13 H15 H17">
      <formula1>EffortList</formula1>
    </dataValidation>
    <dataValidation type="list" allowBlank="1" showInputMessage="1" showErrorMessage="1" sqref="E13:F13">
      <formula1>IF(K24="No",ZeroList,EffortList)</formula1>
    </dataValidation>
    <dataValidation type="list" allowBlank="1" showInputMessage="1" showErrorMessage="1" sqref="E9:F9">
      <formula1>IF(OR(K24="No",K24="No aplica"),ZeroList,EffortList)</formula1>
    </dataValidation>
    <dataValidation type="list" allowBlank="1" showInputMessage="1" showErrorMessage="1" sqref="E10:F10">
      <formula1>IF(K24="No",ZeroList,EffortList)</formula1>
    </dataValidation>
    <dataValidation type="list" allowBlank="1" showInputMessage="1" showErrorMessage="1" sqref="E11:F11">
      <formula1>IF(K24="No",ZeroList,EffortList)</formula1>
    </dataValidation>
    <dataValidation type="list" allowBlank="1" showInputMessage="1" showErrorMessage="1" sqref="E12:F12">
      <formula1>IF(K24="No",ZeroList,EffortList)</formula1>
    </dataValidation>
    <dataValidation type="list" allowBlank="1" showInputMessage="1" showErrorMessage="1" sqref="H4 H6:H7">
      <formula1>EffortList</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3"/>
  <sheetViews>
    <sheetView zoomScale="60" zoomScaleNormal="60" workbookViewId="0"/>
  </sheetViews>
  <sheetFormatPr defaultRowHeight="15" x14ac:dyDescent="0.25"/>
  <cols>
    <col min="1" max="1" width="20.42578125" bestFit="1" customWidth="1"/>
    <col min="2" max="2" width="14.28515625" customWidth="1"/>
    <col min="3" max="3" width="10.140625" bestFit="1" customWidth="1"/>
    <col min="4" max="4" width="20.5703125" customWidth="1"/>
    <col min="5" max="5" width="18" bestFit="1" customWidth="1"/>
    <col min="6" max="6" width="14.42578125" customWidth="1"/>
    <col min="7" max="7" width="38.7109375" bestFit="1" customWidth="1"/>
    <col min="8" max="8" width="13.85546875" customWidth="1"/>
  </cols>
  <sheetData>
    <row r="1" spans="1:7" ht="21" x14ac:dyDescent="0.35">
      <c r="A1" s="2" t="s">
        <v>93</v>
      </c>
      <c r="C1" s="2" t="s">
        <v>94</v>
      </c>
      <c r="E1" s="2" t="s">
        <v>15</v>
      </c>
      <c r="G1" s="27" t="s">
        <v>95</v>
      </c>
    </row>
    <row r="2" spans="1:7" x14ac:dyDescent="0.25">
      <c r="G2" s="47">
        <f>complexityCalculator(Validación!C11,Validación!C12,Validación!C21,Validación!C22,Validación!C23,Validación!C24)</f>
        <v>24</v>
      </c>
    </row>
    <row r="3" spans="1:7" x14ac:dyDescent="0.25">
      <c r="A3" s="48">
        <v>0.5</v>
      </c>
      <c r="C3" s="48">
        <v>1</v>
      </c>
      <c r="E3" s="48">
        <v>1</v>
      </c>
    </row>
    <row r="4" spans="1:7" x14ac:dyDescent="0.25">
      <c r="A4" s="48">
        <v>0.5</v>
      </c>
      <c r="C4" s="48">
        <v>1</v>
      </c>
      <c r="E4" s="48">
        <v>1</v>
      </c>
      <c r="G4" s="27" t="s">
        <v>96</v>
      </c>
    </row>
    <row r="5" spans="1:7" x14ac:dyDescent="0.25">
      <c r="A5" s="48">
        <v>0.5</v>
      </c>
      <c r="C5" s="48">
        <v>1</v>
      </c>
      <c r="E5" s="48">
        <v>1</v>
      </c>
      <c r="G5" s="47">
        <f>(complexityCalculator(Validación!C11,Validación!C12,Validación!C21,Validación!C22,Validación!C23,Validación!C24)-7)+3</f>
        <v>20</v>
      </c>
    </row>
    <row r="6" spans="1:7" x14ac:dyDescent="0.25">
      <c r="A6" s="48">
        <v>0.5</v>
      </c>
      <c r="C6" s="48">
        <v>1</v>
      </c>
      <c r="E6" s="48">
        <v>1.5</v>
      </c>
    </row>
    <row r="7" spans="1:7" x14ac:dyDescent="0.25">
      <c r="A7" s="48">
        <v>0.5</v>
      </c>
      <c r="C7" s="48">
        <v>1.25</v>
      </c>
      <c r="E7" s="48">
        <v>1.5</v>
      </c>
    </row>
    <row r="8" spans="1:7" x14ac:dyDescent="0.25">
      <c r="A8" s="48">
        <v>0.5</v>
      </c>
      <c r="C8" s="48">
        <v>1.25</v>
      </c>
      <c r="E8" s="48">
        <v>1.5</v>
      </c>
    </row>
    <row r="9" spans="1:7" x14ac:dyDescent="0.25">
      <c r="A9" s="49">
        <v>0.75</v>
      </c>
      <c r="C9" s="49">
        <v>1.25</v>
      </c>
      <c r="E9" s="49">
        <v>2</v>
      </c>
    </row>
    <row r="10" spans="1:7" x14ac:dyDescent="0.25">
      <c r="A10" s="49">
        <v>0.75</v>
      </c>
      <c r="C10" s="49">
        <v>1.5</v>
      </c>
      <c r="E10" s="49">
        <v>2</v>
      </c>
    </row>
    <row r="11" spans="1:7" x14ac:dyDescent="0.25">
      <c r="A11" s="49">
        <v>0.75</v>
      </c>
      <c r="C11" s="49">
        <v>1.5</v>
      </c>
      <c r="E11" s="49">
        <v>2</v>
      </c>
    </row>
    <row r="12" spans="1:7" x14ac:dyDescent="0.25">
      <c r="A12" s="49">
        <v>0.75</v>
      </c>
      <c r="C12" s="49">
        <v>1.5</v>
      </c>
      <c r="E12" s="49">
        <v>2.5</v>
      </c>
    </row>
    <row r="13" spans="1:7" x14ac:dyDescent="0.25">
      <c r="A13" s="49">
        <v>0.75</v>
      </c>
      <c r="C13" s="49">
        <v>2</v>
      </c>
      <c r="E13" s="49">
        <v>2.5</v>
      </c>
    </row>
    <row r="14" spans="1:7" x14ac:dyDescent="0.25">
      <c r="A14" s="49">
        <v>0.75</v>
      </c>
      <c r="C14" s="49">
        <v>2</v>
      </c>
      <c r="E14" s="49">
        <v>2.5</v>
      </c>
    </row>
    <row r="15" spans="1:7" x14ac:dyDescent="0.25">
      <c r="A15" s="50">
        <v>1</v>
      </c>
      <c r="C15" s="50">
        <v>2</v>
      </c>
      <c r="E15" s="50">
        <v>3</v>
      </c>
    </row>
    <row r="16" spans="1:7" x14ac:dyDescent="0.25">
      <c r="A16" s="50">
        <v>1</v>
      </c>
      <c r="C16" s="50">
        <v>2.25</v>
      </c>
      <c r="E16" s="50">
        <v>3</v>
      </c>
    </row>
    <row r="17" spans="1:5" ht="16.5" customHeight="1" x14ac:dyDescent="0.25">
      <c r="A17" s="50">
        <v>1</v>
      </c>
      <c r="C17" s="50">
        <v>2.25</v>
      </c>
      <c r="E17" s="50">
        <v>3</v>
      </c>
    </row>
    <row r="18" spans="1:5" x14ac:dyDescent="0.25">
      <c r="A18" s="50">
        <v>1</v>
      </c>
      <c r="C18" s="50">
        <v>2.25</v>
      </c>
      <c r="E18" s="50">
        <v>3.5</v>
      </c>
    </row>
    <row r="19" spans="1:5" x14ac:dyDescent="0.25">
      <c r="A19" s="50">
        <v>1</v>
      </c>
      <c r="C19" s="50">
        <v>2.5</v>
      </c>
      <c r="E19" s="50">
        <v>3.5</v>
      </c>
    </row>
    <row r="20" spans="1:5" x14ac:dyDescent="0.25">
      <c r="A20" s="50">
        <v>1</v>
      </c>
      <c r="C20" s="50">
        <v>2.5</v>
      </c>
      <c r="E20" s="50">
        <v>3.5</v>
      </c>
    </row>
    <row r="21" spans="1:5" x14ac:dyDescent="0.25">
      <c r="A21" s="51">
        <v>1.5</v>
      </c>
      <c r="C21" s="51">
        <v>2.5</v>
      </c>
      <c r="E21" s="51">
        <v>4</v>
      </c>
    </row>
    <row r="22" spans="1:5" x14ac:dyDescent="0.25">
      <c r="A22" s="51">
        <v>1.5</v>
      </c>
      <c r="C22" s="51">
        <v>3</v>
      </c>
      <c r="E22" s="51">
        <v>4</v>
      </c>
    </row>
    <row r="23" spans="1:5" x14ac:dyDescent="0.25">
      <c r="A23" s="51">
        <v>1.5</v>
      </c>
      <c r="C23" s="51">
        <v>3</v>
      </c>
      <c r="E23" s="51">
        <v>4</v>
      </c>
    </row>
    <row r="24" spans="1:5" x14ac:dyDescent="0.25">
      <c r="A24" s="51">
        <v>1.5</v>
      </c>
      <c r="C24" s="51">
        <v>3</v>
      </c>
      <c r="E24" s="51">
        <v>4.5</v>
      </c>
    </row>
    <row r="25" spans="1:5" x14ac:dyDescent="0.25">
      <c r="A25" s="51">
        <v>1.5</v>
      </c>
      <c r="C25" s="51">
        <v>3.25</v>
      </c>
      <c r="E25" s="51">
        <v>4.5</v>
      </c>
    </row>
    <row r="26" spans="1:5" x14ac:dyDescent="0.25">
      <c r="A26" s="51">
        <v>1.5</v>
      </c>
      <c r="C26" s="51">
        <v>3.25</v>
      </c>
      <c r="E26" s="51">
        <v>4.5</v>
      </c>
    </row>
    <row r="27" spans="1:5" x14ac:dyDescent="0.25">
      <c r="A27" s="51">
        <v>1.5</v>
      </c>
      <c r="C27" s="51">
        <v>3.25</v>
      </c>
      <c r="E27" s="51">
        <v>5</v>
      </c>
    </row>
    <row r="28" spans="1:5" x14ac:dyDescent="0.25">
      <c r="A28" s="51">
        <v>1.5</v>
      </c>
      <c r="C28" s="51">
        <v>3.5</v>
      </c>
      <c r="E28" s="51">
        <v>5</v>
      </c>
    </row>
    <row r="29" spans="1:5" x14ac:dyDescent="0.25">
      <c r="A29" s="51">
        <v>1.5</v>
      </c>
      <c r="C29" s="51">
        <v>3.5</v>
      </c>
      <c r="E29" s="51">
        <v>5.5</v>
      </c>
    </row>
    <row r="30" spans="1:5" x14ac:dyDescent="0.25">
      <c r="A30" s="52">
        <v>2</v>
      </c>
      <c r="C30" s="52">
        <v>3.5</v>
      </c>
      <c r="E30" s="52">
        <v>5.5</v>
      </c>
    </row>
    <row r="31" spans="1:5" x14ac:dyDescent="0.25">
      <c r="A31" s="52">
        <v>2</v>
      </c>
      <c r="C31" s="52">
        <v>4</v>
      </c>
      <c r="E31" s="52">
        <v>6</v>
      </c>
    </row>
    <row r="32" spans="1:5" x14ac:dyDescent="0.25">
      <c r="A32" s="52">
        <v>2</v>
      </c>
      <c r="C32" s="52">
        <v>4</v>
      </c>
      <c r="E32" s="52">
        <v>6</v>
      </c>
    </row>
    <row r="33" spans="1:5" x14ac:dyDescent="0.25">
      <c r="A33" s="52">
        <v>2</v>
      </c>
      <c r="C33" s="52">
        <v>4</v>
      </c>
      <c r="E33" s="52">
        <v>6.5</v>
      </c>
    </row>
    <row r="34" spans="1:5" x14ac:dyDescent="0.25">
      <c r="A34" s="52">
        <v>2.25</v>
      </c>
      <c r="C34" s="52">
        <v>4.25</v>
      </c>
      <c r="E34" s="52">
        <v>6.5</v>
      </c>
    </row>
    <row r="35" spans="1:5" x14ac:dyDescent="0.25">
      <c r="A35" s="52">
        <v>2.25</v>
      </c>
      <c r="C35" s="52">
        <v>4.25</v>
      </c>
      <c r="E35" s="52">
        <v>7</v>
      </c>
    </row>
    <row r="36" spans="1:5" x14ac:dyDescent="0.25">
      <c r="A36" s="53">
        <v>2.25</v>
      </c>
      <c r="C36" s="53">
        <v>4.25</v>
      </c>
      <c r="E36" s="53">
        <v>7</v>
      </c>
    </row>
    <row r="37" spans="1:5" x14ac:dyDescent="0.25">
      <c r="A37" s="53">
        <v>2.25</v>
      </c>
      <c r="C37" s="53">
        <v>4.5</v>
      </c>
      <c r="E37" s="53">
        <v>7.55</v>
      </c>
    </row>
    <row r="38" spans="1:5" x14ac:dyDescent="0.25">
      <c r="A38" s="53">
        <v>2.25</v>
      </c>
      <c r="C38" s="53">
        <v>4.5</v>
      </c>
      <c r="E38" s="53">
        <v>7.5</v>
      </c>
    </row>
    <row r="39" spans="1:5" x14ac:dyDescent="0.25">
      <c r="A39" s="53">
        <v>2.5</v>
      </c>
      <c r="C39" s="53">
        <v>4.5</v>
      </c>
      <c r="E39" s="53">
        <v>8</v>
      </c>
    </row>
    <row r="40" spans="1:5" x14ac:dyDescent="0.25">
      <c r="A40" s="54">
        <v>2.5</v>
      </c>
      <c r="C40" s="54">
        <v>4.75</v>
      </c>
      <c r="E40" s="54">
        <v>8</v>
      </c>
    </row>
    <row r="41" spans="1:5" x14ac:dyDescent="0.25">
      <c r="A41" s="54">
        <v>2.5</v>
      </c>
      <c r="C41" s="54">
        <v>4.75</v>
      </c>
      <c r="E41" s="54">
        <v>8.5</v>
      </c>
    </row>
    <row r="42" spans="1:5" x14ac:dyDescent="0.25">
      <c r="A42" s="54">
        <v>2.5</v>
      </c>
      <c r="C42" s="54">
        <v>4.75</v>
      </c>
      <c r="E42" s="54">
        <v>8.5</v>
      </c>
    </row>
    <row r="43" spans="1:5" x14ac:dyDescent="0.25">
      <c r="A43" s="54">
        <v>3</v>
      </c>
      <c r="C43" s="54">
        <v>5</v>
      </c>
      <c r="E43" s="54">
        <v>9</v>
      </c>
    </row>
  </sheetData>
  <sheetProtection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1"/>
  <sheetViews>
    <sheetView workbookViewId="0"/>
  </sheetViews>
  <sheetFormatPr defaultRowHeight="15" x14ac:dyDescent="0.25"/>
  <cols>
    <col min="2" max="2" width="22.7109375" bestFit="1" customWidth="1"/>
    <col min="3" max="3" width="27.28515625" bestFit="1" customWidth="1"/>
    <col min="4" max="4" width="17.85546875" bestFit="1" customWidth="1"/>
    <col min="5" max="5" width="14.28515625" bestFit="1" customWidth="1"/>
    <col min="6" max="6" width="29.85546875" customWidth="1"/>
    <col min="7" max="7" width="19.85546875" customWidth="1"/>
    <col min="9" max="9" width="12.42578125" bestFit="1" customWidth="1"/>
    <col min="11" max="11" width="42.5703125" bestFit="1" customWidth="1"/>
    <col min="12" max="12" width="35.85546875" bestFit="1" customWidth="1"/>
    <col min="13" max="13" width="43.5703125" bestFit="1" customWidth="1"/>
  </cols>
  <sheetData>
    <row r="1" spans="1:13" ht="21" x14ac:dyDescent="0.35">
      <c r="A1" s="2" t="s">
        <v>20</v>
      </c>
      <c r="B1" s="2" t="s">
        <v>85</v>
      </c>
      <c r="C1" s="2" t="s">
        <v>14</v>
      </c>
      <c r="D1" s="2" t="s">
        <v>39</v>
      </c>
      <c r="E1" s="2" t="s">
        <v>50</v>
      </c>
      <c r="F1" s="8" t="s">
        <v>62</v>
      </c>
      <c r="G1" s="2" t="s">
        <v>101</v>
      </c>
      <c r="H1" s="2" t="s">
        <v>22</v>
      </c>
      <c r="I1" s="2" t="s">
        <v>117</v>
      </c>
      <c r="J1" s="2" t="s">
        <v>118</v>
      </c>
      <c r="K1" s="2" t="s">
        <v>120</v>
      </c>
      <c r="L1" s="2" t="s">
        <v>224</v>
      </c>
      <c r="M1" s="2" t="s">
        <v>225</v>
      </c>
    </row>
    <row r="3" spans="1:13" x14ac:dyDescent="0.25">
      <c r="A3" t="s">
        <v>21</v>
      </c>
      <c r="B3" t="s">
        <v>25</v>
      </c>
      <c r="C3" t="s">
        <v>87</v>
      </c>
      <c r="D3" t="s">
        <v>40</v>
      </c>
      <c r="E3" t="s">
        <v>51</v>
      </c>
      <c r="F3" t="s">
        <v>63</v>
      </c>
      <c r="G3" t="s">
        <v>102</v>
      </c>
      <c r="H3" t="s">
        <v>22</v>
      </c>
      <c r="I3">
        <v>0</v>
      </c>
      <c r="J3">
        <v>0</v>
      </c>
      <c r="K3" t="s">
        <v>445</v>
      </c>
      <c r="L3" t="s">
        <v>550</v>
      </c>
      <c r="M3" t="s">
        <v>268</v>
      </c>
    </row>
    <row r="4" spans="1:13" x14ac:dyDescent="0.25">
      <c r="A4" t="s">
        <v>22</v>
      </c>
      <c r="B4" t="s">
        <v>84</v>
      </c>
      <c r="C4" t="s">
        <v>84</v>
      </c>
      <c r="D4" t="s">
        <v>41</v>
      </c>
      <c r="E4" t="s">
        <v>50</v>
      </c>
      <c r="I4">
        <v>0.25</v>
      </c>
      <c r="K4" t="s">
        <v>226</v>
      </c>
      <c r="L4" t="s">
        <v>446</v>
      </c>
      <c r="M4" t="s">
        <v>260</v>
      </c>
    </row>
    <row r="5" spans="1:13" x14ac:dyDescent="0.25">
      <c r="D5" t="s">
        <v>42</v>
      </c>
      <c r="I5">
        <v>0.5</v>
      </c>
      <c r="K5" t="s">
        <v>352</v>
      </c>
      <c r="L5" t="s">
        <v>447</v>
      </c>
      <c r="M5" t="s">
        <v>236</v>
      </c>
    </row>
    <row r="6" spans="1:13" x14ac:dyDescent="0.25">
      <c r="I6">
        <v>0.75</v>
      </c>
      <c r="K6" t="s">
        <v>227</v>
      </c>
      <c r="L6" t="s">
        <v>448</v>
      </c>
      <c r="M6" t="s">
        <v>237</v>
      </c>
    </row>
    <row r="7" spans="1:13" x14ac:dyDescent="0.25">
      <c r="I7">
        <v>1</v>
      </c>
      <c r="K7" t="s">
        <v>273</v>
      </c>
      <c r="L7" t="s">
        <v>449</v>
      </c>
      <c r="M7" t="s">
        <v>238</v>
      </c>
    </row>
    <row r="8" spans="1:13" x14ac:dyDescent="0.25">
      <c r="I8">
        <v>1.25</v>
      </c>
      <c r="K8" t="s">
        <v>353</v>
      </c>
      <c r="L8" t="s">
        <v>121</v>
      </c>
      <c r="M8" t="s">
        <v>239</v>
      </c>
    </row>
    <row r="9" spans="1:13" x14ac:dyDescent="0.25">
      <c r="I9">
        <v>1.5</v>
      </c>
      <c r="K9" t="s">
        <v>354</v>
      </c>
      <c r="L9" t="s">
        <v>122</v>
      </c>
      <c r="M9" t="s">
        <v>524</v>
      </c>
    </row>
    <row r="10" spans="1:13" x14ac:dyDescent="0.25">
      <c r="I10">
        <v>1.75</v>
      </c>
      <c r="K10" t="s">
        <v>274</v>
      </c>
      <c r="L10" t="s">
        <v>450</v>
      </c>
      <c r="M10" t="s">
        <v>525</v>
      </c>
    </row>
    <row r="11" spans="1:13" x14ac:dyDescent="0.25">
      <c r="I11">
        <v>2</v>
      </c>
      <c r="K11" t="s">
        <v>275</v>
      </c>
      <c r="L11" t="s">
        <v>123</v>
      </c>
      <c r="M11" t="s">
        <v>130</v>
      </c>
    </row>
    <row r="12" spans="1:13" x14ac:dyDescent="0.25">
      <c r="I12">
        <v>2.25</v>
      </c>
      <c r="K12" t="s">
        <v>275</v>
      </c>
      <c r="L12" t="s">
        <v>124</v>
      </c>
      <c r="M12" t="s">
        <v>240</v>
      </c>
    </row>
    <row r="13" spans="1:13" x14ac:dyDescent="0.25">
      <c r="I13">
        <v>2.5</v>
      </c>
      <c r="K13" t="s">
        <v>355</v>
      </c>
      <c r="L13" t="s">
        <v>125</v>
      </c>
      <c r="M13" t="s">
        <v>526</v>
      </c>
    </row>
    <row r="14" spans="1:13" x14ac:dyDescent="0.25">
      <c r="I14">
        <v>2.75</v>
      </c>
      <c r="K14" t="s">
        <v>272</v>
      </c>
      <c r="L14" t="s">
        <v>126</v>
      </c>
      <c r="M14" t="s">
        <v>241</v>
      </c>
    </row>
    <row r="15" spans="1:13" x14ac:dyDescent="0.25">
      <c r="I15">
        <v>3</v>
      </c>
      <c r="K15" t="s">
        <v>276</v>
      </c>
      <c r="L15" t="s">
        <v>451</v>
      </c>
      <c r="M15" t="s">
        <v>527</v>
      </c>
    </row>
    <row r="16" spans="1:13" x14ac:dyDescent="0.25">
      <c r="I16">
        <v>3.25</v>
      </c>
      <c r="K16" t="s">
        <v>277</v>
      </c>
      <c r="L16" t="s">
        <v>127</v>
      </c>
      <c r="M16" t="s">
        <v>528</v>
      </c>
    </row>
    <row r="17" spans="9:13" x14ac:dyDescent="0.25">
      <c r="I17">
        <v>3.5</v>
      </c>
      <c r="K17" t="s">
        <v>356</v>
      </c>
      <c r="L17" t="s">
        <v>452</v>
      </c>
      <c r="M17" t="s">
        <v>242</v>
      </c>
    </row>
    <row r="18" spans="9:13" x14ac:dyDescent="0.25">
      <c r="I18">
        <v>3.75</v>
      </c>
      <c r="K18" t="s">
        <v>14</v>
      </c>
      <c r="L18" t="s">
        <v>128</v>
      </c>
      <c r="M18" t="s">
        <v>243</v>
      </c>
    </row>
    <row r="19" spans="9:13" x14ac:dyDescent="0.25">
      <c r="I19">
        <v>4</v>
      </c>
      <c r="K19" t="s">
        <v>130</v>
      </c>
      <c r="L19" t="s">
        <v>129</v>
      </c>
      <c r="M19" t="s">
        <v>244</v>
      </c>
    </row>
    <row r="20" spans="9:13" x14ac:dyDescent="0.25">
      <c r="I20">
        <v>4.25</v>
      </c>
      <c r="K20" t="s">
        <v>278</v>
      </c>
      <c r="L20" t="s">
        <v>14</v>
      </c>
      <c r="M20" t="s">
        <v>153</v>
      </c>
    </row>
    <row r="21" spans="9:13" x14ac:dyDescent="0.25">
      <c r="I21">
        <v>4.5</v>
      </c>
      <c r="K21" t="s">
        <v>357</v>
      </c>
      <c r="L21" t="s">
        <v>453</v>
      </c>
      <c r="M21" t="s">
        <v>529</v>
      </c>
    </row>
    <row r="22" spans="9:13" x14ac:dyDescent="0.25">
      <c r="I22">
        <v>4.75</v>
      </c>
      <c r="K22" t="s">
        <v>358</v>
      </c>
      <c r="L22" t="s">
        <v>130</v>
      </c>
      <c r="M22" t="s">
        <v>530</v>
      </c>
    </row>
    <row r="23" spans="9:13" x14ac:dyDescent="0.25">
      <c r="I23">
        <v>5</v>
      </c>
      <c r="K23" t="s">
        <v>359</v>
      </c>
      <c r="L23" t="s">
        <v>131</v>
      </c>
      <c r="M23" t="s">
        <v>245</v>
      </c>
    </row>
    <row r="24" spans="9:13" x14ac:dyDescent="0.25">
      <c r="I24">
        <v>5.25</v>
      </c>
      <c r="K24" t="s">
        <v>279</v>
      </c>
      <c r="L24" t="s">
        <v>132</v>
      </c>
      <c r="M24" t="s">
        <v>531</v>
      </c>
    </row>
    <row r="25" spans="9:13" x14ac:dyDescent="0.25">
      <c r="I25">
        <v>5.5</v>
      </c>
      <c r="K25" t="s">
        <v>360</v>
      </c>
      <c r="L25" t="s">
        <v>133</v>
      </c>
      <c r="M25" t="s">
        <v>246</v>
      </c>
    </row>
    <row r="26" spans="9:13" x14ac:dyDescent="0.25">
      <c r="I26">
        <v>5.75</v>
      </c>
      <c r="K26" t="s">
        <v>361</v>
      </c>
      <c r="L26" t="s">
        <v>134</v>
      </c>
      <c r="M26" t="s">
        <v>532</v>
      </c>
    </row>
    <row r="27" spans="9:13" x14ac:dyDescent="0.25">
      <c r="I27">
        <v>6</v>
      </c>
      <c r="K27" t="s">
        <v>362</v>
      </c>
      <c r="L27" t="s">
        <v>135</v>
      </c>
      <c r="M27" t="s">
        <v>247</v>
      </c>
    </row>
    <row r="28" spans="9:13" x14ac:dyDescent="0.25">
      <c r="I28">
        <v>6.25</v>
      </c>
      <c r="K28" t="s">
        <v>228</v>
      </c>
      <c r="L28" t="s">
        <v>136</v>
      </c>
      <c r="M28" t="s">
        <v>248</v>
      </c>
    </row>
    <row r="29" spans="9:13" x14ac:dyDescent="0.25">
      <c r="I29">
        <v>6.5</v>
      </c>
      <c r="K29" t="s">
        <v>229</v>
      </c>
      <c r="L29" t="s">
        <v>137</v>
      </c>
      <c r="M29" t="s">
        <v>533</v>
      </c>
    </row>
    <row r="30" spans="9:13" x14ac:dyDescent="0.25">
      <c r="I30">
        <v>6.75</v>
      </c>
      <c r="K30" t="s">
        <v>363</v>
      </c>
      <c r="L30" t="s">
        <v>138</v>
      </c>
      <c r="M30" t="s">
        <v>249</v>
      </c>
    </row>
    <row r="31" spans="9:13" x14ac:dyDescent="0.25">
      <c r="I31">
        <v>7</v>
      </c>
      <c r="K31" t="s">
        <v>280</v>
      </c>
      <c r="L31" t="s">
        <v>139</v>
      </c>
      <c r="M31" t="s">
        <v>481</v>
      </c>
    </row>
    <row r="32" spans="9:13" x14ac:dyDescent="0.25">
      <c r="I32">
        <v>7.25</v>
      </c>
      <c r="K32" t="s">
        <v>364</v>
      </c>
      <c r="L32" t="s">
        <v>140</v>
      </c>
      <c r="M32" t="s">
        <v>534</v>
      </c>
    </row>
    <row r="33" spans="9:13" x14ac:dyDescent="0.25">
      <c r="I33">
        <v>7.5</v>
      </c>
      <c r="K33" t="s">
        <v>281</v>
      </c>
      <c r="L33" t="s">
        <v>454</v>
      </c>
      <c r="M33" t="s">
        <v>535</v>
      </c>
    </row>
    <row r="34" spans="9:13" x14ac:dyDescent="0.25">
      <c r="I34">
        <v>7.75</v>
      </c>
      <c r="K34" t="s">
        <v>365</v>
      </c>
      <c r="L34" t="s">
        <v>455</v>
      </c>
      <c r="M34" t="s">
        <v>250</v>
      </c>
    </row>
    <row r="35" spans="9:13" x14ac:dyDescent="0.25">
      <c r="I35">
        <v>8</v>
      </c>
      <c r="K35" t="s">
        <v>282</v>
      </c>
      <c r="L35" t="s">
        <v>456</v>
      </c>
      <c r="M35" t="s">
        <v>536</v>
      </c>
    </row>
    <row r="36" spans="9:13" x14ac:dyDescent="0.25">
      <c r="I36">
        <v>8.25</v>
      </c>
      <c r="K36" t="s">
        <v>366</v>
      </c>
      <c r="L36" t="s">
        <v>457</v>
      </c>
      <c r="M36" t="s">
        <v>262</v>
      </c>
    </row>
    <row r="37" spans="9:13" x14ac:dyDescent="0.25">
      <c r="I37">
        <v>8.5</v>
      </c>
      <c r="K37" t="s">
        <v>367</v>
      </c>
      <c r="L37" t="s">
        <v>458</v>
      </c>
      <c r="M37" t="s">
        <v>264</v>
      </c>
    </row>
    <row r="38" spans="9:13" x14ac:dyDescent="0.25">
      <c r="I38">
        <v>8.75</v>
      </c>
      <c r="K38" t="s">
        <v>368</v>
      </c>
      <c r="L38" t="s">
        <v>459</v>
      </c>
      <c r="M38" t="s">
        <v>263</v>
      </c>
    </row>
    <row r="39" spans="9:13" x14ac:dyDescent="0.25">
      <c r="I39">
        <v>9</v>
      </c>
      <c r="K39" t="s">
        <v>283</v>
      </c>
      <c r="L39" t="s">
        <v>460</v>
      </c>
      <c r="M39" t="s">
        <v>537</v>
      </c>
    </row>
    <row r="40" spans="9:13" x14ac:dyDescent="0.25">
      <c r="I40">
        <v>9.25</v>
      </c>
      <c r="K40" t="s">
        <v>369</v>
      </c>
      <c r="L40" t="s">
        <v>141</v>
      </c>
      <c r="M40" t="s">
        <v>411</v>
      </c>
    </row>
    <row r="41" spans="9:13" x14ac:dyDescent="0.25">
      <c r="I41">
        <v>9.5</v>
      </c>
      <c r="K41" t="s">
        <v>370</v>
      </c>
      <c r="L41" t="s">
        <v>142</v>
      </c>
      <c r="M41" t="s">
        <v>251</v>
      </c>
    </row>
    <row r="42" spans="9:13" x14ac:dyDescent="0.25">
      <c r="I42">
        <v>9.75</v>
      </c>
      <c r="K42" t="s">
        <v>284</v>
      </c>
      <c r="L42" t="s">
        <v>461</v>
      </c>
      <c r="M42" t="s">
        <v>554</v>
      </c>
    </row>
    <row r="43" spans="9:13" x14ac:dyDescent="0.25">
      <c r="I43">
        <v>10</v>
      </c>
      <c r="K43" t="s">
        <v>371</v>
      </c>
      <c r="L43" t="s">
        <v>143</v>
      </c>
      <c r="M43" t="s">
        <v>252</v>
      </c>
    </row>
    <row r="44" spans="9:13" x14ac:dyDescent="0.25">
      <c r="K44" t="s">
        <v>285</v>
      </c>
      <c r="L44" t="s">
        <v>144</v>
      </c>
      <c r="M44" t="s">
        <v>538</v>
      </c>
    </row>
    <row r="45" spans="9:13" x14ac:dyDescent="0.25">
      <c r="K45" t="s">
        <v>372</v>
      </c>
      <c r="L45" t="s">
        <v>145</v>
      </c>
      <c r="M45" t="s">
        <v>253</v>
      </c>
    </row>
    <row r="46" spans="9:13" x14ac:dyDescent="0.25">
      <c r="K46" t="s">
        <v>373</v>
      </c>
      <c r="L46" t="s">
        <v>146</v>
      </c>
      <c r="M46" t="s">
        <v>254</v>
      </c>
    </row>
    <row r="47" spans="9:13" x14ac:dyDescent="0.25">
      <c r="K47" t="s">
        <v>286</v>
      </c>
      <c r="L47" t="s">
        <v>147</v>
      </c>
      <c r="M47" t="s">
        <v>255</v>
      </c>
    </row>
    <row r="48" spans="9:13" x14ac:dyDescent="0.25">
      <c r="K48" t="s">
        <v>374</v>
      </c>
      <c r="L48" t="s">
        <v>148</v>
      </c>
      <c r="M48" t="s">
        <v>256</v>
      </c>
    </row>
    <row r="49" spans="11:13" x14ac:dyDescent="0.25">
      <c r="K49" t="s">
        <v>230</v>
      </c>
      <c r="L49" t="s">
        <v>149</v>
      </c>
      <c r="M49" t="s">
        <v>257</v>
      </c>
    </row>
    <row r="50" spans="11:13" x14ac:dyDescent="0.25">
      <c r="K50" t="s">
        <v>375</v>
      </c>
      <c r="L50" t="s">
        <v>462</v>
      </c>
      <c r="M50" t="s">
        <v>13</v>
      </c>
    </row>
    <row r="51" spans="11:13" x14ac:dyDescent="0.25">
      <c r="K51" t="s">
        <v>287</v>
      </c>
      <c r="L51" t="s">
        <v>150</v>
      </c>
      <c r="M51" t="s">
        <v>539</v>
      </c>
    </row>
    <row r="52" spans="11:13" x14ac:dyDescent="0.25">
      <c r="K52" t="s">
        <v>376</v>
      </c>
      <c r="L52" t="s">
        <v>151</v>
      </c>
      <c r="M52" t="s">
        <v>258</v>
      </c>
    </row>
    <row r="53" spans="11:13" x14ac:dyDescent="0.25">
      <c r="K53" t="s">
        <v>377</v>
      </c>
      <c r="L53" t="s">
        <v>463</v>
      </c>
      <c r="M53" t="s">
        <v>259</v>
      </c>
    </row>
    <row r="54" spans="11:13" x14ac:dyDescent="0.25">
      <c r="K54" t="s">
        <v>378</v>
      </c>
      <c r="L54" t="s">
        <v>152</v>
      </c>
      <c r="M54" t="s">
        <v>265</v>
      </c>
    </row>
    <row r="55" spans="11:13" x14ac:dyDescent="0.25">
      <c r="K55" t="s">
        <v>379</v>
      </c>
      <c r="L55" t="s">
        <v>153</v>
      </c>
      <c r="M55" t="s">
        <v>267</v>
      </c>
    </row>
    <row r="56" spans="11:13" x14ac:dyDescent="0.25">
      <c r="K56" t="s">
        <v>380</v>
      </c>
      <c r="L56" t="s">
        <v>464</v>
      </c>
      <c r="M56" t="s">
        <v>540</v>
      </c>
    </row>
    <row r="57" spans="11:13" x14ac:dyDescent="0.25">
      <c r="K57" t="s">
        <v>381</v>
      </c>
      <c r="L57" t="s">
        <v>154</v>
      </c>
      <c r="M57" t="s">
        <v>541</v>
      </c>
    </row>
    <row r="58" spans="11:13" x14ac:dyDescent="0.25">
      <c r="K58" t="s">
        <v>382</v>
      </c>
      <c r="L58" t="s">
        <v>155</v>
      </c>
      <c r="M58" t="s">
        <v>261</v>
      </c>
    </row>
    <row r="59" spans="11:13" x14ac:dyDescent="0.25">
      <c r="K59" t="s">
        <v>246</v>
      </c>
      <c r="L59" t="s">
        <v>465</v>
      </c>
      <c r="M59" t="s">
        <v>266</v>
      </c>
    </row>
    <row r="60" spans="11:13" x14ac:dyDescent="0.25">
      <c r="K60" t="s">
        <v>383</v>
      </c>
      <c r="L60" t="s">
        <v>156</v>
      </c>
      <c r="M60" t="s">
        <v>542</v>
      </c>
    </row>
    <row r="61" spans="11:13" x14ac:dyDescent="0.25">
      <c r="K61" t="s">
        <v>384</v>
      </c>
      <c r="L61" t="s">
        <v>466</v>
      </c>
      <c r="M61" t="s">
        <v>543</v>
      </c>
    </row>
    <row r="62" spans="11:13" x14ac:dyDescent="0.25">
      <c r="K62" t="s">
        <v>385</v>
      </c>
      <c r="L62" t="s">
        <v>467</v>
      </c>
      <c r="M62" t="s">
        <v>544</v>
      </c>
    </row>
    <row r="63" spans="11:13" x14ac:dyDescent="0.25">
      <c r="K63" t="s">
        <v>288</v>
      </c>
      <c r="L63" t="s">
        <v>468</v>
      </c>
      <c r="M63" t="s">
        <v>545</v>
      </c>
    </row>
    <row r="64" spans="11:13" x14ac:dyDescent="0.25">
      <c r="K64" t="s">
        <v>386</v>
      </c>
      <c r="L64" t="s">
        <v>469</v>
      </c>
      <c r="M64" t="s">
        <v>546</v>
      </c>
    </row>
    <row r="65" spans="11:13" x14ac:dyDescent="0.25">
      <c r="K65" t="s">
        <v>10</v>
      </c>
      <c r="L65" t="s">
        <v>380</v>
      </c>
      <c r="M65" t="s">
        <v>547</v>
      </c>
    </row>
    <row r="66" spans="11:13" x14ac:dyDescent="0.25">
      <c r="K66" t="s">
        <v>289</v>
      </c>
      <c r="L66" t="s">
        <v>470</v>
      </c>
      <c r="M66" t="s">
        <v>548</v>
      </c>
    </row>
    <row r="67" spans="11:13" x14ac:dyDescent="0.25">
      <c r="K67" t="s">
        <v>290</v>
      </c>
      <c r="L67" t="s">
        <v>471</v>
      </c>
      <c r="M67" t="s">
        <v>549</v>
      </c>
    </row>
    <row r="68" spans="11:13" x14ac:dyDescent="0.25">
      <c r="K68" t="s">
        <v>291</v>
      </c>
      <c r="L68" t="s">
        <v>472</v>
      </c>
      <c r="M68" s="64"/>
    </row>
    <row r="69" spans="11:13" x14ac:dyDescent="0.25">
      <c r="K69" t="s">
        <v>292</v>
      </c>
      <c r="L69" t="s">
        <v>473</v>
      </c>
      <c r="M69" s="64"/>
    </row>
    <row r="70" spans="11:13" x14ac:dyDescent="0.25">
      <c r="K70" t="s">
        <v>387</v>
      </c>
      <c r="L70" t="s">
        <v>157</v>
      </c>
      <c r="M70" s="64"/>
    </row>
    <row r="71" spans="11:13" x14ac:dyDescent="0.25">
      <c r="K71" t="s">
        <v>293</v>
      </c>
      <c r="L71" t="s">
        <v>474</v>
      </c>
      <c r="M71" s="64"/>
    </row>
    <row r="72" spans="11:13" x14ac:dyDescent="0.25">
      <c r="K72" t="s">
        <v>294</v>
      </c>
      <c r="L72" t="s">
        <v>158</v>
      </c>
      <c r="M72" s="64"/>
    </row>
    <row r="73" spans="11:13" x14ac:dyDescent="0.25">
      <c r="K73" t="s">
        <v>295</v>
      </c>
      <c r="L73" t="s">
        <v>475</v>
      </c>
      <c r="M73" s="64"/>
    </row>
    <row r="74" spans="11:13" x14ac:dyDescent="0.25">
      <c r="K74" t="s">
        <v>296</v>
      </c>
      <c r="L74" t="s">
        <v>476</v>
      </c>
      <c r="M74" s="64"/>
    </row>
    <row r="75" spans="11:13" x14ac:dyDescent="0.25">
      <c r="K75" t="s">
        <v>297</v>
      </c>
      <c r="L75" t="s">
        <v>159</v>
      </c>
      <c r="M75" s="64"/>
    </row>
    <row r="76" spans="11:13" x14ac:dyDescent="0.25">
      <c r="K76" t="s">
        <v>298</v>
      </c>
      <c r="L76" t="s">
        <v>477</v>
      </c>
      <c r="M76" s="64"/>
    </row>
    <row r="77" spans="11:13" x14ac:dyDescent="0.25">
      <c r="K77" t="s">
        <v>231</v>
      </c>
      <c r="L77" t="s">
        <v>160</v>
      </c>
      <c r="M77" s="64"/>
    </row>
    <row r="78" spans="11:13" x14ac:dyDescent="0.25">
      <c r="K78" t="s">
        <v>299</v>
      </c>
      <c r="L78" t="s">
        <v>161</v>
      </c>
      <c r="M78" s="64"/>
    </row>
    <row r="79" spans="11:13" x14ac:dyDescent="0.25">
      <c r="K79" t="s">
        <v>300</v>
      </c>
      <c r="L79" t="s">
        <v>162</v>
      </c>
      <c r="M79" s="64"/>
    </row>
    <row r="80" spans="11:13" x14ac:dyDescent="0.25">
      <c r="K80" t="s">
        <v>301</v>
      </c>
      <c r="L80" t="s">
        <v>163</v>
      </c>
      <c r="M80" s="64"/>
    </row>
    <row r="81" spans="11:13" x14ac:dyDescent="0.25">
      <c r="K81" t="s">
        <v>388</v>
      </c>
      <c r="L81" t="s">
        <v>164</v>
      </c>
      <c r="M81" s="64"/>
    </row>
    <row r="82" spans="11:13" x14ac:dyDescent="0.25">
      <c r="K82" t="s">
        <v>389</v>
      </c>
      <c r="L82" t="s">
        <v>478</v>
      </c>
      <c r="M82" s="64"/>
    </row>
    <row r="83" spans="11:13" x14ac:dyDescent="0.25">
      <c r="K83" t="s">
        <v>390</v>
      </c>
      <c r="L83" t="s">
        <v>479</v>
      </c>
      <c r="M83" s="64"/>
    </row>
    <row r="84" spans="11:13" x14ac:dyDescent="0.25">
      <c r="K84" t="s">
        <v>391</v>
      </c>
      <c r="L84" t="s">
        <v>165</v>
      </c>
      <c r="M84" s="64"/>
    </row>
    <row r="85" spans="11:13" x14ac:dyDescent="0.25">
      <c r="K85" t="s">
        <v>392</v>
      </c>
      <c r="L85" t="s">
        <v>480</v>
      </c>
      <c r="M85" s="64"/>
    </row>
    <row r="86" spans="11:13" x14ac:dyDescent="0.25">
      <c r="K86" t="s">
        <v>393</v>
      </c>
      <c r="L86" t="s">
        <v>481</v>
      </c>
      <c r="M86" s="64"/>
    </row>
    <row r="87" spans="11:13" x14ac:dyDescent="0.25">
      <c r="K87" t="s">
        <v>394</v>
      </c>
      <c r="L87" t="s">
        <v>482</v>
      </c>
      <c r="M87" s="64"/>
    </row>
    <row r="88" spans="11:13" x14ac:dyDescent="0.25">
      <c r="K88" t="s">
        <v>302</v>
      </c>
      <c r="L88" t="s">
        <v>166</v>
      </c>
      <c r="M88" s="64"/>
    </row>
    <row r="89" spans="11:13" x14ac:dyDescent="0.25">
      <c r="K89" t="s">
        <v>303</v>
      </c>
      <c r="L89" t="s">
        <v>167</v>
      </c>
      <c r="M89" s="64"/>
    </row>
    <row r="90" spans="11:13" x14ac:dyDescent="0.25">
      <c r="K90" t="s">
        <v>395</v>
      </c>
      <c r="L90" t="s">
        <v>483</v>
      </c>
      <c r="M90" s="64"/>
    </row>
    <row r="91" spans="11:13" x14ac:dyDescent="0.25">
      <c r="K91" t="s">
        <v>396</v>
      </c>
      <c r="L91" t="s">
        <v>168</v>
      </c>
      <c r="M91" s="64"/>
    </row>
    <row r="92" spans="11:13" x14ac:dyDescent="0.25">
      <c r="K92" t="s">
        <v>304</v>
      </c>
      <c r="L92" t="s">
        <v>484</v>
      </c>
      <c r="M92" s="64"/>
    </row>
    <row r="93" spans="11:13" x14ac:dyDescent="0.25">
      <c r="K93" t="s">
        <v>305</v>
      </c>
      <c r="L93" t="s">
        <v>169</v>
      </c>
      <c r="M93" s="64"/>
    </row>
    <row r="94" spans="11:13" x14ac:dyDescent="0.25">
      <c r="K94" t="s">
        <v>306</v>
      </c>
      <c r="L94" t="s">
        <v>485</v>
      </c>
      <c r="M94" s="64"/>
    </row>
    <row r="95" spans="11:13" x14ac:dyDescent="0.25">
      <c r="K95" t="s">
        <v>307</v>
      </c>
      <c r="L95" t="s">
        <v>486</v>
      </c>
      <c r="M95" s="64"/>
    </row>
    <row r="96" spans="11:13" x14ac:dyDescent="0.25">
      <c r="K96" t="s">
        <v>308</v>
      </c>
      <c r="L96" t="s">
        <v>487</v>
      </c>
      <c r="M96" s="64"/>
    </row>
    <row r="97" spans="11:13" x14ac:dyDescent="0.25">
      <c r="K97" t="s">
        <v>309</v>
      </c>
      <c r="L97" t="s">
        <v>488</v>
      </c>
      <c r="M97" s="64"/>
    </row>
    <row r="98" spans="11:13" x14ac:dyDescent="0.25">
      <c r="K98" t="s">
        <v>397</v>
      </c>
      <c r="L98" t="s">
        <v>489</v>
      </c>
      <c r="M98" s="64"/>
    </row>
    <row r="99" spans="11:13" x14ac:dyDescent="0.25">
      <c r="K99" t="s">
        <v>398</v>
      </c>
      <c r="L99" t="s">
        <v>170</v>
      </c>
      <c r="M99" s="64"/>
    </row>
    <row r="100" spans="11:13" x14ac:dyDescent="0.25">
      <c r="K100" t="s">
        <v>399</v>
      </c>
      <c r="L100" t="s">
        <v>171</v>
      </c>
      <c r="M100" s="64"/>
    </row>
    <row r="101" spans="11:13" x14ac:dyDescent="0.25">
      <c r="K101" t="s">
        <v>400</v>
      </c>
      <c r="L101" t="s">
        <v>490</v>
      </c>
      <c r="M101" s="64"/>
    </row>
    <row r="102" spans="11:13" x14ac:dyDescent="0.25">
      <c r="K102" t="s">
        <v>310</v>
      </c>
      <c r="L102" t="s">
        <v>491</v>
      </c>
      <c r="M102" s="64"/>
    </row>
    <row r="103" spans="11:13" x14ac:dyDescent="0.25">
      <c r="K103" t="s">
        <v>401</v>
      </c>
      <c r="L103" t="s">
        <v>172</v>
      </c>
      <c r="M103" s="64"/>
    </row>
    <row r="104" spans="11:13" x14ac:dyDescent="0.25">
      <c r="K104" t="s">
        <v>311</v>
      </c>
      <c r="L104" t="s">
        <v>492</v>
      </c>
      <c r="M104" s="64"/>
    </row>
    <row r="105" spans="11:13" x14ac:dyDescent="0.25">
      <c r="K105" t="s">
        <v>312</v>
      </c>
      <c r="L105" t="s">
        <v>173</v>
      </c>
      <c r="M105" s="64"/>
    </row>
    <row r="106" spans="11:13" x14ac:dyDescent="0.25">
      <c r="K106" t="s">
        <v>402</v>
      </c>
      <c r="L106" t="s">
        <v>174</v>
      </c>
      <c r="M106" s="64"/>
    </row>
    <row r="107" spans="11:13" x14ac:dyDescent="0.25">
      <c r="K107" t="s">
        <v>403</v>
      </c>
      <c r="L107" t="s">
        <v>105</v>
      </c>
      <c r="M107" s="64"/>
    </row>
    <row r="108" spans="11:13" x14ac:dyDescent="0.25">
      <c r="K108" t="s">
        <v>404</v>
      </c>
      <c r="L108" t="s">
        <v>175</v>
      </c>
      <c r="M108" s="64"/>
    </row>
    <row r="109" spans="11:13" x14ac:dyDescent="0.25">
      <c r="K109" t="s">
        <v>405</v>
      </c>
      <c r="L109" t="s">
        <v>493</v>
      </c>
      <c r="M109" s="64"/>
    </row>
    <row r="110" spans="11:13" x14ac:dyDescent="0.25">
      <c r="K110" t="s">
        <v>406</v>
      </c>
      <c r="L110" t="s">
        <v>176</v>
      </c>
      <c r="M110" s="64"/>
    </row>
    <row r="111" spans="11:13" x14ac:dyDescent="0.25">
      <c r="K111" t="s">
        <v>407</v>
      </c>
      <c r="L111" t="s">
        <v>494</v>
      </c>
      <c r="M111" s="64"/>
    </row>
    <row r="112" spans="11:13" x14ac:dyDescent="0.25">
      <c r="K112" t="s">
        <v>408</v>
      </c>
      <c r="L112" t="s">
        <v>177</v>
      </c>
      <c r="M112" s="64"/>
    </row>
    <row r="113" spans="11:13" x14ac:dyDescent="0.25">
      <c r="K113" t="s">
        <v>409</v>
      </c>
      <c r="L113" t="s">
        <v>495</v>
      </c>
      <c r="M113" s="64"/>
    </row>
    <row r="114" spans="11:13" x14ac:dyDescent="0.25">
      <c r="K114" t="s">
        <v>410</v>
      </c>
      <c r="L114" t="s">
        <v>496</v>
      </c>
      <c r="M114" s="64"/>
    </row>
    <row r="115" spans="11:13" x14ac:dyDescent="0.25">
      <c r="K115" t="s">
        <v>313</v>
      </c>
      <c r="L115" t="s">
        <v>178</v>
      </c>
      <c r="M115" s="64"/>
    </row>
    <row r="116" spans="11:13" x14ac:dyDescent="0.25">
      <c r="K116" t="s">
        <v>411</v>
      </c>
      <c r="L116" t="s">
        <v>179</v>
      </c>
      <c r="M116" s="64"/>
    </row>
    <row r="117" spans="11:13" x14ac:dyDescent="0.25">
      <c r="K117" t="s">
        <v>314</v>
      </c>
      <c r="L117" t="s">
        <v>522</v>
      </c>
      <c r="M117" s="64"/>
    </row>
    <row r="118" spans="11:13" x14ac:dyDescent="0.25">
      <c r="K118" t="s">
        <v>315</v>
      </c>
      <c r="L118" t="s">
        <v>497</v>
      </c>
      <c r="M118" s="64"/>
    </row>
    <row r="119" spans="11:13" x14ac:dyDescent="0.25">
      <c r="K119" t="s">
        <v>412</v>
      </c>
      <c r="L119" t="s">
        <v>180</v>
      </c>
      <c r="M119" s="64"/>
    </row>
    <row r="120" spans="11:13" x14ac:dyDescent="0.25">
      <c r="K120" t="s">
        <v>413</v>
      </c>
      <c r="L120" t="s">
        <v>498</v>
      </c>
      <c r="M120" s="64"/>
    </row>
    <row r="121" spans="11:13" x14ac:dyDescent="0.25">
      <c r="K121" t="s">
        <v>316</v>
      </c>
      <c r="L121" t="s">
        <v>181</v>
      </c>
      <c r="M121" s="64"/>
    </row>
    <row r="122" spans="11:13" x14ac:dyDescent="0.25">
      <c r="K122" t="s">
        <v>414</v>
      </c>
      <c r="L122" t="s">
        <v>499</v>
      </c>
      <c r="M122" s="64"/>
    </row>
    <row r="123" spans="11:13" x14ac:dyDescent="0.25">
      <c r="K123" t="s">
        <v>317</v>
      </c>
      <c r="L123" t="s">
        <v>500</v>
      </c>
      <c r="M123" s="64"/>
    </row>
    <row r="124" spans="11:13" x14ac:dyDescent="0.25">
      <c r="K124" t="s">
        <v>318</v>
      </c>
      <c r="L124" t="s">
        <v>182</v>
      </c>
      <c r="M124" s="64"/>
    </row>
    <row r="125" spans="11:13" x14ac:dyDescent="0.25">
      <c r="K125" t="s">
        <v>319</v>
      </c>
      <c r="L125" t="s">
        <v>183</v>
      </c>
      <c r="M125" s="64"/>
    </row>
    <row r="126" spans="11:13" x14ac:dyDescent="0.25">
      <c r="K126" t="s">
        <v>320</v>
      </c>
      <c r="L126" t="s">
        <v>501</v>
      </c>
      <c r="M126" s="64"/>
    </row>
    <row r="127" spans="11:13" x14ac:dyDescent="0.25">
      <c r="K127" t="s">
        <v>321</v>
      </c>
      <c r="L127" t="s">
        <v>184</v>
      </c>
      <c r="M127" s="64"/>
    </row>
    <row r="128" spans="11:13" x14ac:dyDescent="0.25">
      <c r="K128" t="s">
        <v>415</v>
      </c>
      <c r="L128" t="s">
        <v>502</v>
      </c>
      <c r="M128" s="64"/>
    </row>
    <row r="129" spans="11:13" x14ac:dyDescent="0.25">
      <c r="K129" t="s">
        <v>322</v>
      </c>
      <c r="L129" t="s">
        <v>503</v>
      </c>
      <c r="M129" s="64"/>
    </row>
    <row r="130" spans="11:13" x14ac:dyDescent="0.25">
      <c r="K130" t="s">
        <v>416</v>
      </c>
      <c r="L130" t="s">
        <v>185</v>
      </c>
      <c r="M130" s="64"/>
    </row>
    <row r="131" spans="11:13" x14ac:dyDescent="0.25">
      <c r="K131" t="s">
        <v>417</v>
      </c>
      <c r="L131" t="s">
        <v>504</v>
      </c>
      <c r="M131" s="64"/>
    </row>
    <row r="132" spans="11:13" x14ac:dyDescent="0.25">
      <c r="K132" t="s">
        <v>323</v>
      </c>
      <c r="L132" t="s">
        <v>186</v>
      </c>
      <c r="M132" s="64"/>
    </row>
    <row r="133" spans="11:13" x14ac:dyDescent="0.25">
      <c r="K133" t="s">
        <v>324</v>
      </c>
      <c r="L133" t="s">
        <v>187</v>
      </c>
      <c r="M133" s="64"/>
    </row>
    <row r="134" spans="11:13" x14ac:dyDescent="0.25">
      <c r="K134" t="s">
        <v>418</v>
      </c>
      <c r="L134" t="s">
        <v>188</v>
      </c>
      <c r="M134" s="64"/>
    </row>
    <row r="135" spans="11:13" x14ac:dyDescent="0.25">
      <c r="K135" t="s">
        <v>419</v>
      </c>
      <c r="L135" t="s">
        <v>505</v>
      </c>
      <c r="M135" s="64"/>
    </row>
    <row r="136" spans="11:13" x14ac:dyDescent="0.25">
      <c r="K136" t="s">
        <v>420</v>
      </c>
      <c r="L136" t="s">
        <v>189</v>
      </c>
      <c r="M136" s="64"/>
    </row>
    <row r="137" spans="11:13" x14ac:dyDescent="0.25">
      <c r="K137" t="s">
        <v>421</v>
      </c>
      <c r="L137" t="s">
        <v>506</v>
      </c>
      <c r="M137" s="64"/>
    </row>
    <row r="138" spans="11:13" x14ac:dyDescent="0.25">
      <c r="K138" t="s">
        <v>422</v>
      </c>
      <c r="L138" t="s">
        <v>507</v>
      </c>
      <c r="M138" s="64"/>
    </row>
    <row r="139" spans="11:13" x14ac:dyDescent="0.25">
      <c r="K139" t="s">
        <v>325</v>
      </c>
      <c r="L139" t="s">
        <v>508</v>
      </c>
      <c r="M139" s="64"/>
    </row>
    <row r="140" spans="11:13" x14ac:dyDescent="0.25">
      <c r="K140" t="s">
        <v>326</v>
      </c>
      <c r="L140" t="s">
        <v>523</v>
      </c>
      <c r="M140" s="64"/>
    </row>
    <row r="141" spans="11:13" x14ac:dyDescent="0.25">
      <c r="K141" t="s">
        <v>327</v>
      </c>
      <c r="L141" t="s">
        <v>190</v>
      </c>
      <c r="M141" s="64"/>
    </row>
    <row r="142" spans="11:13" x14ac:dyDescent="0.25">
      <c r="K142" t="s">
        <v>423</v>
      </c>
      <c r="L142" t="s">
        <v>191</v>
      </c>
      <c r="M142" s="64"/>
    </row>
    <row r="143" spans="11:13" x14ac:dyDescent="0.25">
      <c r="K143" t="s">
        <v>328</v>
      </c>
      <c r="L143" t="s">
        <v>192</v>
      </c>
      <c r="M143" s="64"/>
    </row>
    <row r="144" spans="11:13" x14ac:dyDescent="0.25">
      <c r="K144" t="s">
        <v>329</v>
      </c>
      <c r="L144" t="s">
        <v>509</v>
      </c>
      <c r="M144" s="64"/>
    </row>
    <row r="145" spans="11:13" x14ac:dyDescent="0.25">
      <c r="K145" t="s">
        <v>330</v>
      </c>
      <c r="L145" t="s">
        <v>193</v>
      </c>
      <c r="M145" s="64"/>
    </row>
    <row r="146" spans="11:13" x14ac:dyDescent="0.25">
      <c r="K146" t="s">
        <v>331</v>
      </c>
      <c r="L146" t="s">
        <v>194</v>
      </c>
      <c r="M146" s="64"/>
    </row>
    <row r="147" spans="11:13" x14ac:dyDescent="0.25">
      <c r="K147" t="s">
        <v>332</v>
      </c>
      <c r="L147" t="s">
        <v>510</v>
      </c>
      <c r="M147" s="64"/>
    </row>
    <row r="148" spans="11:13" x14ac:dyDescent="0.25">
      <c r="K148" t="s">
        <v>333</v>
      </c>
      <c r="L148" t="s">
        <v>511</v>
      </c>
      <c r="M148" s="64"/>
    </row>
    <row r="149" spans="11:13" x14ac:dyDescent="0.25">
      <c r="K149" t="s">
        <v>232</v>
      </c>
      <c r="L149" t="s">
        <v>512</v>
      </c>
      <c r="M149" s="64"/>
    </row>
    <row r="150" spans="11:13" x14ac:dyDescent="0.25">
      <c r="K150" t="s">
        <v>424</v>
      </c>
      <c r="L150" t="s">
        <v>195</v>
      </c>
      <c r="M150" s="64"/>
    </row>
    <row r="151" spans="11:13" x14ac:dyDescent="0.25">
      <c r="K151" t="s">
        <v>425</v>
      </c>
      <c r="L151" t="s">
        <v>196</v>
      </c>
      <c r="M151" s="64"/>
    </row>
    <row r="152" spans="11:13" x14ac:dyDescent="0.25">
      <c r="K152" t="s">
        <v>334</v>
      </c>
      <c r="L152" t="s">
        <v>197</v>
      </c>
      <c r="M152" s="64"/>
    </row>
    <row r="153" spans="11:13" x14ac:dyDescent="0.25">
      <c r="K153" t="s">
        <v>335</v>
      </c>
      <c r="L153" t="s">
        <v>198</v>
      </c>
      <c r="M153" s="64"/>
    </row>
    <row r="154" spans="11:13" x14ac:dyDescent="0.25">
      <c r="K154" t="s">
        <v>336</v>
      </c>
      <c r="L154" t="s">
        <v>513</v>
      </c>
      <c r="M154" s="64"/>
    </row>
    <row r="155" spans="11:13" x14ac:dyDescent="0.25">
      <c r="K155" t="s">
        <v>337</v>
      </c>
      <c r="L155" t="s">
        <v>514</v>
      </c>
      <c r="M155" s="64"/>
    </row>
    <row r="156" spans="11:13" x14ac:dyDescent="0.25">
      <c r="K156" t="s">
        <v>233</v>
      </c>
      <c r="L156" t="s">
        <v>515</v>
      </c>
      <c r="M156" s="64"/>
    </row>
    <row r="157" spans="11:13" x14ac:dyDescent="0.25">
      <c r="K157" t="s">
        <v>426</v>
      </c>
      <c r="L157" t="s">
        <v>516</v>
      </c>
      <c r="M157" s="64"/>
    </row>
    <row r="158" spans="11:13" x14ac:dyDescent="0.25">
      <c r="K158" t="s">
        <v>427</v>
      </c>
      <c r="L158" t="s">
        <v>199</v>
      </c>
      <c r="M158" s="64"/>
    </row>
    <row r="159" spans="11:13" x14ac:dyDescent="0.25">
      <c r="K159" t="s">
        <v>428</v>
      </c>
      <c r="L159" t="s">
        <v>517</v>
      </c>
      <c r="M159" s="64"/>
    </row>
    <row r="160" spans="11:13" x14ac:dyDescent="0.25">
      <c r="K160" t="s">
        <v>429</v>
      </c>
      <c r="L160" t="s">
        <v>200</v>
      </c>
      <c r="M160" s="64"/>
    </row>
    <row r="161" spans="11:13" x14ac:dyDescent="0.25">
      <c r="K161" t="s">
        <v>430</v>
      </c>
      <c r="L161" t="s">
        <v>201</v>
      </c>
      <c r="M161" s="64"/>
    </row>
    <row r="162" spans="11:13" x14ac:dyDescent="0.25">
      <c r="K162" t="s">
        <v>431</v>
      </c>
      <c r="L162" t="s">
        <v>202</v>
      </c>
      <c r="M162" s="64"/>
    </row>
    <row r="163" spans="11:13" x14ac:dyDescent="0.25">
      <c r="K163" t="s">
        <v>338</v>
      </c>
      <c r="L163" t="s">
        <v>518</v>
      </c>
      <c r="M163" s="64"/>
    </row>
    <row r="164" spans="11:13" x14ac:dyDescent="0.25">
      <c r="K164" t="s">
        <v>339</v>
      </c>
      <c r="L164" t="s">
        <v>519</v>
      </c>
      <c r="M164" s="64"/>
    </row>
    <row r="165" spans="11:13" x14ac:dyDescent="0.25">
      <c r="K165" t="s">
        <v>340</v>
      </c>
      <c r="L165" t="s">
        <v>203</v>
      </c>
      <c r="M165" s="64"/>
    </row>
    <row r="166" spans="11:13" x14ac:dyDescent="0.25">
      <c r="K166" t="s">
        <v>341</v>
      </c>
      <c r="L166" t="s">
        <v>520</v>
      </c>
      <c r="M166" s="64"/>
    </row>
    <row r="167" spans="11:13" x14ac:dyDescent="0.25">
      <c r="K167" t="s">
        <v>432</v>
      </c>
      <c r="L167" t="s">
        <v>204</v>
      </c>
      <c r="M167" s="64"/>
    </row>
    <row r="168" spans="11:13" x14ac:dyDescent="0.25">
      <c r="K168" t="s">
        <v>433</v>
      </c>
      <c r="L168" t="s">
        <v>205</v>
      </c>
      <c r="M168" s="64"/>
    </row>
    <row r="169" spans="11:13" x14ac:dyDescent="0.25">
      <c r="K169" t="s">
        <v>434</v>
      </c>
      <c r="L169" t="s">
        <v>521</v>
      </c>
      <c r="M169" s="64"/>
    </row>
    <row r="170" spans="11:13" x14ac:dyDescent="0.25">
      <c r="K170" t="s">
        <v>435</v>
      </c>
      <c r="L170" t="s">
        <v>206</v>
      </c>
      <c r="M170" s="64"/>
    </row>
    <row r="171" spans="11:13" x14ac:dyDescent="0.25">
      <c r="K171" t="s">
        <v>342</v>
      </c>
      <c r="L171" t="s">
        <v>207</v>
      </c>
      <c r="M171" s="64"/>
    </row>
    <row r="172" spans="11:13" x14ac:dyDescent="0.25">
      <c r="K172" t="s">
        <v>436</v>
      </c>
      <c r="L172" t="s">
        <v>208</v>
      </c>
      <c r="M172" s="64"/>
    </row>
    <row r="173" spans="11:13" x14ac:dyDescent="0.25">
      <c r="K173" t="s">
        <v>234</v>
      </c>
      <c r="L173" t="s">
        <v>209</v>
      </c>
      <c r="M173" s="64"/>
    </row>
    <row r="174" spans="11:13" x14ac:dyDescent="0.25">
      <c r="K174" t="s">
        <v>343</v>
      </c>
      <c r="L174" t="s">
        <v>210</v>
      </c>
      <c r="M174" s="64"/>
    </row>
    <row r="175" spans="11:13" x14ac:dyDescent="0.25">
      <c r="K175" t="s">
        <v>344</v>
      </c>
      <c r="L175" t="s">
        <v>211</v>
      </c>
      <c r="M175" s="64"/>
    </row>
    <row r="176" spans="11:13" x14ac:dyDescent="0.25">
      <c r="K176" t="s">
        <v>437</v>
      </c>
      <c r="L176" t="s">
        <v>212</v>
      </c>
    </row>
    <row r="177" spans="11:12" x14ac:dyDescent="0.25">
      <c r="K177" t="s">
        <v>345</v>
      </c>
      <c r="L177" t="s">
        <v>213</v>
      </c>
    </row>
    <row r="178" spans="11:12" x14ac:dyDescent="0.25">
      <c r="K178" t="s">
        <v>438</v>
      </c>
      <c r="L178" t="s">
        <v>214</v>
      </c>
    </row>
    <row r="179" spans="11:12" x14ac:dyDescent="0.25">
      <c r="K179" t="s">
        <v>439</v>
      </c>
      <c r="L179" t="s">
        <v>215</v>
      </c>
    </row>
    <row r="180" spans="11:12" x14ac:dyDescent="0.25">
      <c r="K180" t="s">
        <v>346</v>
      </c>
      <c r="L180" t="s">
        <v>216</v>
      </c>
    </row>
    <row r="181" spans="11:12" x14ac:dyDescent="0.25">
      <c r="K181" t="s">
        <v>440</v>
      </c>
      <c r="L181" t="s">
        <v>217</v>
      </c>
    </row>
    <row r="182" spans="11:12" x14ac:dyDescent="0.25">
      <c r="K182" t="s">
        <v>235</v>
      </c>
      <c r="L182" t="s">
        <v>218</v>
      </c>
    </row>
    <row r="183" spans="11:12" x14ac:dyDescent="0.25">
      <c r="K183" t="s">
        <v>347</v>
      </c>
      <c r="L183" t="s">
        <v>219</v>
      </c>
    </row>
    <row r="184" spans="11:12" x14ac:dyDescent="0.25">
      <c r="K184" t="s">
        <v>441</v>
      </c>
      <c r="L184" t="s">
        <v>220</v>
      </c>
    </row>
    <row r="185" spans="11:12" x14ac:dyDescent="0.25">
      <c r="K185" t="s">
        <v>442</v>
      </c>
      <c r="L185" t="s">
        <v>221</v>
      </c>
    </row>
    <row r="186" spans="11:12" x14ac:dyDescent="0.25">
      <c r="K186" t="s">
        <v>443</v>
      </c>
      <c r="L186" t="s">
        <v>222</v>
      </c>
    </row>
    <row r="187" spans="11:12" x14ac:dyDescent="0.25">
      <c r="K187" t="s">
        <v>348</v>
      </c>
      <c r="L187" t="s">
        <v>223</v>
      </c>
    </row>
    <row r="188" spans="11:12" x14ac:dyDescent="0.25">
      <c r="K188" t="s">
        <v>349</v>
      </c>
    </row>
    <row r="189" spans="11:12" x14ac:dyDescent="0.25">
      <c r="K189" t="s">
        <v>350</v>
      </c>
    </row>
    <row r="190" spans="11:12" x14ac:dyDescent="0.25">
      <c r="K190" t="s">
        <v>351</v>
      </c>
    </row>
    <row r="191" spans="11:12" x14ac:dyDescent="0.25">
      <c r="K191" t="s">
        <v>444</v>
      </c>
    </row>
  </sheetData>
  <sheetProtection sheet="1" objects="1" scenarios="1"/>
  <sortState ref="M4:M67">
    <sortCondition ref="M4"/>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5"/>
  <sheetViews>
    <sheetView zoomScale="70" zoomScaleNormal="70" workbookViewId="0"/>
  </sheetViews>
  <sheetFormatPr defaultRowHeight="15" x14ac:dyDescent="0.25"/>
  <cols>
    <col min="1" max="1" width="38.5703125" style="39" customWidth="1"/>
    <col min="2" max="2" width="37.42578125" style="46" bestFit="1" customWidth="1"/>
    <col min="3" max="3" width="147.85546875" style="11" customWidth="1"/>
    <col min="4" max="16384" width="9.140625" style="11"/>
  </cols>
  <sheetData>
    <row r="1" spans="1:3" ht="21" x14ac:dyDescent="0.25">
      <c r="B1" s="40" t="s">
        <v>23</v>
      </c>
      <c r="C1" s="41" t="s">
        <v>65</v>
      </c>
    </row>
    <row r="2" spans="1:3" x14ac:dyDescent="0.25">
      <c r="B2" s="42"/>
      <c r="C2" s="43"/>
    </row>
    <row r="3" spans="1:3" x14ac:dyDescent="0.25">
      <c r="A3" s="88" t="s">
        <v>0</v>
      </c>
      <c r="B3" s="44" t="s">
        <v>39</v>
      </c>
      <c r="C3" s="45" t="s">
        <v>66</v>
      </c>
    </row>
    <row r="4" spans="1:3" ht="45" x14ac:dyDescent="0.25">
      <c r="A4" s="89"/>
      <c r="B4" s="44" t="s">
        <v>30</v>
      </c>
      <c r="C4" s="45" t="s">
        <v>79</v>
      </c>
    </row>
    <row r="5" spans="1:3" x14ac:dyDescent="0.25">
      <c r="A5" s="89"/>
      <c r="B5" s="44" t="s">
        <v>28</v>
      </c>
      <c r="C5" s="45" t="s">
        <v>67</v>
      </c>
    </row>
    <row r="6" spans="1:3" x14ac:dyDescent="0.25">
      <c r="A6" s="89"/>
      <c r="B6" s="44" t="s">
        <v>1</v>
      </c>
      <c r="C6" s="45" t="s">
        <v>68</v>
      </c>
    </row>
    <row r="7" spans="1:3" x14ac:dyDescent="0.25">
      <c r="A7" s="89"/>
      <c r="B7" s="44" t="s">
        <v>2</v>
      </c>
      <c r="C7" s="45" t="s">
        <v>80</v>
      </c>
    </row>
    <row r="9" spans="1:3" x14ac:dyDescent="0.25">
      <c r="A9" s="88" t="s">
        <v>8</v>
      </c>
      <c r="B9" s="44" t="s">
        <v>5</v>
      </c>
      <c r="C9" s="45" t="s">
        <v>69</v>
      </c>
    </row>
    <row r="10" spans="1:3" x14ac:dyDescent="0.25">
      <c r="A10" s="89"/>
      <c r="B10" s="44" t="s">
        <v>6</v>
      </c>
      <c r="C10" s="45" t="s">
        <v>81</v>
      </c>
    </row>
    <row r="11" spans="1:3" ht="30" x14ac:dyDescent="0.25">
      <c r="A11" s="89"/>
      <c r="B11" s="44" t="s">
        <v>7</v>
      </c>
      <c r="C11" s="45" t="s">
        <v>106</v>
      </c>
    </row>
    <row r="12" spans="1:3" ht="75" x14ac:dyDescent="0.25">
      <c r="A12" s="90"/>
      <c r="B12" s="44" t="s">
        <v>24</v>
      </c>
      <c r="C12" s="45" t="s">
        <v>553</v>
      </c>
    </row>
    <row r="14" spans="1:3" ht="30" x14ac:dyDescent="0.25">
      <c r="A14" s="88" t="s">
        <v>9</v>
      </c>
      <c r="B14" s="44" t="s">
        <v>10</v>
      </c>
      <c r="C14" s="45" t="s">
        <v>70</v>
      </c>
    </row>
    <row r="15" spans="1:3" ht="75" x14ac:dyDescent="0.25">
      <c r="A15" s="90"/>
      <c r="B15" s="44" t="s">
        <v>27</v>
      </c>
      <c r="C15" s="45" t="s">
        <v>71</v>
      </c>
    </row>
    <row r="17" spans="1:3" ht="90" x14ac:dyDescent="0.25">
      <c r="A17" s="93" t="s">
        <v>11</v>
      </c>
      <c r="B17" s="44" t="s">
        <v>12</v>
      </c>
      <c r="C17" s="45" t="s">
        <v>73</v>
      </c>
    </row>
    <row r="18" spans="1:3" ht="105" x14ac:dyDescent="0.25">
      <c r="A18" s="93"/>
      <c r="B18" s="44" t="s">
        <v>13</v>
      </c>
      <c r="C18" s="45" t="s">
        <v>72</v>
      </c>
    </row>
    <row r="19" spans="1:3" ht="45" x14ac:dyDescent="0.25">
      <c r="A19" s="93"/>
      <c r="B19" s="44" t="s">
        <v>14</v>
      </c>
      <c r="C19" s="45" t="s">
        <v>74</v>
      </c>
    </row>
    <row r="21" spans="1:3" ht="45" x14ac:dyDescent="0.25">
      <c r="A21" s="88" t="s">
        <v>15</v>
      </c>
      <c r="B21" s="44" t="s">
        <v>16</v>
      </c>
      <c r="C21" s="45" t="s">
        <v>76</v>
      </c>
    </row>
    <row r="22" spans="1:3" ht="30" x14ac:dyDescent="0.25">
      <c r="A22" s="89"/>
      <c r="B22" s="44" t="s">
        <v>26</v>
      </c>
      <c r="C22" s="45" t="s">
        <v>75</v>
      </c>
    </row>
    <row r="23" spans="1:3" ht="60" x14ac:dyDescent="0.25">
      <c r="A23" s="89"/>
      <c r="B23" s="44" t="s">
        <v>17</v>
      </c>
      <c r="C23" s="45" t="s">
        <v>77</v>
      </c>
    </row>
    <row r="24" spans="1:3" x14ac:dyDescent="0.25">
      <c r="A24" s="89"/>
      <c r="B24" s="44" t="s">
        <v>18</v>
      </c>
      <c r="C24" s="45" t="s">
        <v>78</v>
      </c>
    </row>
    <row r="25" spans="1:3" ht="225" x14ac:dyDescent="0.25">
      <c r="A25" s="90"/>
      <c r="B25" s="44" t="s">
        <v>105</v>
      </c>
      <c r="C25" s="45" t="s">
        <v>104</v>
      </c>
    </row>
    <row r="27" spans="1:3" x14ac:dyDescent="0.25">
      <c r="A27" s="44" t="s">
        <v>82</v>
      </c>
      <c r="B27" s="44" t="s">
        <v>82</v>
      </c>
      <c r="C27" s="45" t="s">
        <v>83</v>
      </c>
    </row>
    <row r="29" spans="1:3" ht="21" x14ac:dyDescent="0.25">
      <c r="A29" s="40" t="s">
        <v>97</v>
      </c>
    </row>
    <row r="32" spans="1:3" ht="45" x14ac:dyDescent="0.25">
      <c r="A32" s="101" t="s">
        <v>9</v>
      </c>
      <c r="B32" s="55" t="s">
        <v>10</v>
      </c>
      <c r="C32" s="56" t="s">
        <v>98</v>
      </c>
    </row>
    <row r="33" spans="1:3" ht="30" x14ac:dyDescent="0.25">
      <c r="A33" s="102"/>
      <c r="B33" s="55" t="s">
        <v>86</v>
      </c>
      <c r="C33" s="56" t="s">
        <v>99</v>
      </c>
    </row>
    <row r="35" spans="1:3" ht="60" x14ac:dyDescent="0.25">
      <c r="A35" s="60" t="s">
        <v>15</v>
      </c>
      <c r="B35" s="55" t="s">
        <v>18</v>
      </c>
      <c r="C35" s="56" t="s">
        <v>100</v>
      </c>
    </row>
  </sheetData>
  <sheetProtection sheet="1" objects="1" scenarios="1" formatColumns="0" formatRows="0"/>
  <mergeCells count="6">
    <mergeCell ref="A32:A33"/>
    <mergeCell ref="A3:A7"/>
    <mergeCell ref="A9:A12"/>
    <mergeCell ref="A14:A15"/>
    <mergeCell ref="A17:A19"/>
    <mergeCell ref="A21:A25"/>
  </mergeCells>
  <dataValidations count="4">
    <dataValidation allowBlank="1" showInputMessage="1" showErrorMessage="1" promptTitle="# Accounts" prompt="Numero de cuentas requerido para la separación lógica de alto nivel de instancias de servicio" sqref="B6"/>
    <dataValidation allowBlank="1" showInputMessage="1" showErrorMessage="1" promptTitle="# Aplicaciones" prompt="Numero de aplicaciones de trasladar a la nube (desde la punta de vista del cliente)" sqref="B7"/>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33"/>
    <dataValidation allowBlank="1" showInputMessage="1" showErrorMessage="1" promptTitle="Scripts de automatización" prompt="Se indica si hay que crear scripts de automatización como parte de la oferta." sqref="B35"/>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Validación</vt:lpstr>
      <vt:lpstr>Calculadora</vt:lpstr>
      <vt:lpstr>Output</vt:lpstr>
      <vt:lpstr>Ranges</vt:lpstr>
      <vt:lpstr>Lists</vt:lpstr>
      <vt:lpstr>Descripciones</vt:lpstr>
      <vt:lpstr>ApplicableList</vt:lpstr>
      <vt:lpstr>AWSServiceList</vt:lpstr>
      <vt:lpstr>AzureServiceList</vt:lpstr>
      <vt:lpstr>BackupList</vt:lpstr>
      <vt:lpstr>EffortList</vt:lpstr>
      <vt:lpstr>GCPServiceList</vt:lpstr>
      <vt:lpstr>ManagementList</vt:lpstr>
      <vt:lpstr>NoList</vt:lpstr>
      <vt:lpstr>NotApplicableList</vt:lpstr>
      <vt:lpstr>NubePublicaList</vt:lpstr>
      <vt:lpstr>RequeridoList</vt:lpstr>
      <vt:lpstr>SiNoList</vt:lpstr>
      <vt:lpstr>ZeroList</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EC2</dc:creator>
  <cp:lastModifiedBy>Windows User</cp:lastModifiedBy>
  <dcterms:created xsi:type="dcterms:W3CDTF">2020-03-02T10:54:04Z</dcterms:created>
  <dcterms:modified xsi:type="dcterms:W3CDTF">2020-05-06T10:49:03Z</dcterms:modified>
</cp:coreProperties>
</file>